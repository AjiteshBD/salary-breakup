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MPL - WORKING FOLDERS\HUMAN RESOURCE\"/>
    </mc:Choice>
  </mc:AlternateContent>
  <xr:revisionPtr revIDLastSave="0" documentId="13_ncr:1_{1E631633-7FE4-47D8-AA09-5CB9AFBD9303}" xr6:coauthVersionLast="47" xr6:coauthVersionMax="47" xr10:uidLastSave="{00000000-0000-0000-0000-000000000000}"/>
  <bookViews>
    <workbookView xWindow="-108" yWindow="-108" windowWidth="23256" windowHeight="12456" xr2:uid="{B0306009-1463-4879-B04C-2F24BD694022}"/>
  </bookViews>
  <sheets>
    <sheet name="Appx. Poli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" i="1" l="1"/>
  <c r="M21" i="1" s="1"/>
  <c r="L20" i="1"/>
  <c r="L21" i="1" s="1"/>
  <c r="J20" i="1"/>
  <c r="J21" i="1" s="1"/>
  <c r="I20" i="1"/>
  <c r="I21" i="1" s="1"/>
  <c r="G20" i="1"/>
  <c r="G21" i="1" s="1"/>
  <c r="F20" i="1"/>
  <c r="F21" i="1" s="1"/>
  <c r="P28" i="1"/>
  <c r="P29" i="1" s="1"/>
  <c r="O28" i="1"/>
  <c r="O29" i="1" s="1"/>
  <c r="M28" i="1"/>
  <c r="M29" i="1" s="1"/>
  <c r="L28" i="1"/>
  <c r="L29" i="1" s="1"/>
  <c r="J28" i="1"/>
  <c r="J29" i="1" s="1"/>
  <c r="I28" i="1"/>
  <c r="I29" i="1" s="1"/>
  <c r="G28" i="1"/>
  <c r="G29" i="1" s="1"/>
  <c r="F28" i="1"/>
  <c r="F29" i="1" s="1"/>
  <c r="L26" i="1"/>
  <c r="G26" i="1"/>
  <c r="P25" i="1"/>
  <c r="P26" i="1" s="1"/>
  <c r="O25" i="1"/>
  <c r="O26" i="1" s="1"/>
  <c r="M25" i="1"/>
  <c r="M26" i="1" s="1"/>
  <c r="L25" i="1"/>
  <c r="J25" i="1"/>
  <c r="J26" i="1" s="1"/>
  <c r="I25" i="1"/>
  <c r="I26" i="1" s="1"/>
  <c r="G25" i="1"/>
  <c r="F25" i="1"/>
  <c r="F26" i="1" s="1"/>
  <c r="D25" i="1"/>
  <c r="D26" i="1" s="1"/>
  <c r="O21" i="1"/>
  <c r="P20" i="1"/>
  <c r="P21" i="1" s="1"/>
  <c r="O20" i="1"/>
  <c r="D20" i="1"/>
  <c r="D21" i="1" s="1"/>
  <c r="M11" i="1"/>
  <c r="F11" i="1"/>
  <c r="P10" i="1"/>
  <c r="P11" i="1" s="1"/>
  <c r="O10" i="1"/>
  <c r="O11" i="1" s="1"/>
  <c r="M10" i="1"/>
  <c r="L10" i="1"/>
  <c r="L11" i="1" s="1"/>
  <c r="J10" i="1"/>
  <c r="J11" i="1" s="1"/>
  <c r="I10" i="1"/>
  <c r="I11" i="1" s="1"/>
  <c r="G10" i="1"/>
  <c r="G11" i="1" s="1"/>
  <c r="F10" i="1"/>
  <c r="D10" i="1"/>
  <c r="D11" i="1" s="1"/>
  <c r="D30" i="1" s="1"/>
  <c r="G30" i="1" l="1"/>
  <c r="F30" i="1"/>
  <c r="I30" i="1"/>
  <c r="P30" i="1"/>
  <c r="L30" i="1"/>
  <c r="M30" i="1"/>
  <c r="J30" i="1"/>
  <c r="O30" i="1"/>
</calcChain>
</file>

<file path=xl/sharedStrings.xml><?xml version="1.0" encoding="utf-8"?>
<sst xmlns="http://schemas.openxmlformats.org/spreadsheetml/2006/main" count="83" uniqueCount="51">
  <si>
    <t>If PF &amp; PI</t>
  </si>
  <si>
    <t>If no PF &amp; PI</t>
  </si>
  <si>
    <t xml:space="preserve">If PF </t>
  </si>
  <si>
    <t xml:space="preserve">If No PF </t>
  </si>
  <si>
    <t xml:space="preserve">if PF </t>
  </si>
  <si>
    <t xml:space="preserve">if no PF </t>
  </si>
  <si>
    <t>Director</t>
  </si>
  <si>
    <t>Employee&gt;50 Lacs</t>
  </si>
  <si>
    <t>Employee25-50 Lacs</t>
  </si>
  <si>
    <t>Employee12-25Lacs</t>
  </si>
  <si>
    <t>Employee12- 25Lacs</t>
  </si>
  <si>
    <t>Employee&lt; 12Lacs</t>
  </si>
  <si>
    <t xml:space="preserve">Sr. </t>
  </si>
  <si>
    <t>Existing Heads</t>
  </si>
  <si>
    <t>Payout</t>
  </si>
  <si>
    <t>FY 2627</t>
  </si>
  <si>
    <t>No.</t>
  </si>
  <si>
    <t>%</t>
  </si>
  <si>
    <t>A</t>
  </si>
  <si>
    <t xml:space="preserve">Fixed  Components </t>
  </si>
  <si>
    <t>Basic Salary</t>
  </si>
  <si>
    <t>Monthly</t>
  </si>
  <si>
    <t>HRA</t>
  </si>
  <si>
    <t>LTA</t>
  </si>
  <si>
    <t>Special Allowance </t>
  </si>
  <si>
    <t>Total (A) (Monthly)</t>
  </si>
  <si>
    <t>Total (A) (Annually)</t>
  </si>
  <si>
    <t>B</t>
  </si>
  <si>
    <t xml:space="preserve">Reimbursement Components (Monthly) </t>
  </si>
  <si>
    <t>Books &amp; Periodicals</t>
  </si>
  <si>
    <t xml:space="preserve">Office Attire </t>
  </si>
  <si>
    <t>Driver Salary</t>
  </si>
  <si>
    <t>Business Promotion</t>
  </si>
  <si>
    <t>Telephone Allowance</t>
  </si>
  <si>
    <t>Fuel &amp; Vehicle (R)</t>
  </si>
  <si>
    <t xml:space="preserve">Meal Coupons </t>
  </si>
  <si>
    <t>Total (B) (Monthly)</t>
  </si>
  <si>
    <t>Total (B) (Annually)</t>
  </si>
  <si>
    <t>C</t>
  </si>
  <si>
    <t xml:space="preserve">Statutory Benefits </t>
  </si>
  <si>
    <t>Provident Fund</t>
  </si>
  <si>
    <t>ESIC</t>
  </si>
  <si>
    <t>-</t>
  </si>
  <si>
    <t>Total (C) (Monthly)</t>
  </si>
  <si>
    <t>Total (C) (Annually)</t>
  </si>
  <si>
    <t>D</t>
  </si>
  <si>
    <t xml:space="preserve">Performance Incentive </t>
  </si>
  <si>
    <t>Annually</t>
  </si>
  <si>
    <t>Total (D) Monthly (Cost to Company - CTC  - Fixed/ Variable)</t>
  </si>
  <si>
    <t>Total (D) Annually (Cost to Company - CTC  - Fixed/ Variable)</t>
  </si>
  <si>
    <t xml:space="preserve">Total Cost to Company - CTC (A+B+C+D)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</si>
</sst>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FFFF"/>
      <name val="Trebuchet MS"/>
      <family val="2"/>
    </font>
    <font>
      <sz val="8"/>
      <color theme="1"/>
      <name val="Aptos Narrow"/>
      <family val="2"/>
      <scheme val="minor"/>
    </font>
    <font>
      <b/>
      <sz val="8"/>
      <color theme="1"/>
      <name val="Trebuchet MS"/>
      <family val="2"/>
    </font>
    <font>
      <b/>
      <sz val="8"/>
      <name val="Trebuchet MS"/>
      <family val="2"/>
    </font>
    <font>
      <sz val="8"/>
      <color theme="1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sz val="8"/>
      <color rgb="FFFF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10" fontId="0" fillId="0" borderId="0" xfId="1" applyNumberFormat="1" applyFont="1"/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5" fillId="3" borderId="1" xfId="1" quotePrefix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10" fontId="5" fillId="3" borderId="3" xfId="1" quotePrefix="1" applyNumberFormat="1" applyFont="1" applyFill="1" applyBorder="1" applyAlignment="1">
      <alignment horizontal="center" vertical="center"/>
    </xf>
    <xf numFmtId="9" fontId="5" fillId="3" borderId="2" xfId="1" quotePrefix="1" applyFont="1" applyFill="1" applyBorder="1" applyAlignment="1">
      <alignment horizontal="center" vertical="center"/>
    </xf>
    <xf numFmtId="9" fontId="5" fillId="3" borderId="1" xfId="1" quotePrefix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0" fontId="5" fillId="3" borderId="4" xfId="1" applyNumberFormat="1" applyFont="1" applyFill="1" applyBorder="1" applyAlignment="1">
      <alignment horizontal="center" vertical="center"/>
    </xf>
    <xf numFmtId="10" fontId="5" fillId="3" borderId="6" xfId="1" applyNumberFormat="1" applyFont="1" applyFill="1" applyBorder="1" applyAlignment="1">
      <alignment horizontal="center" vertical="center"/>
    </xf>
    <xf numFmtId="9" fontId="5" fillId="3" borderId="5" xfId="1" applyFont="1" applyFill="1" applyBorder="1" applyAlignment="1">
      <alignment horizontal="center" vertical="center"/>
    </xf>
    <xf numFmtId="9" fontId="5" fillId="3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10" fontId="9" fillId="4" borderId="7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0" fontId="9" fillId="4" borderId="8" xfId="1" applyNumberFormat="1" applyFont="1" applyFill="1" applyBorder="1" applyAlignment="1">
      <alignment horizontal="right" vertical="center"/>
    </xf>
    <xf numFmtId="9" fontId="9" fillId="4" borderId="9" xfId="1" applyFont="1" applyFill="1" applyBorder="1" applyAlignment="1">
      <alignment horizontal="right" vertical="center"/>
    </xf>
    <xf numFmtId="9" fontId="9" fillId="4" borderId="7" xfId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10" fontId="0" fillId="0" borderId="7" xfId="1" applyNumberFormat="1" applyFon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0" fontId="6" fillId="2" borderId="0" xfId="0" applyFont="1" applyFill="1" applyAlignment="1">
      <alignment horizontal="center" vertical="center"/>
    </xf>
    <xf numFmtId="10" fontId="2" fillId="0" borderId="7" xfId="1" applyNumberFormat="1" applyFont="1" applyBorder="1"/>
    <xf numFmtId="0" fontId="11" fillId="5" borderId="7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/>
    </xf>
    <xf numFmtId="10" fontId="5" fillId="6" borderId="7" xfId="1" applyNumberFormat="1" applyFont="1" applyFill="1" applyBorder="1" applyAlignment="1">
      <alignment horizontal="right" vertical="center"/>
    </xf>
    <xf numFmtId="10" fontId="5" fillId="6" borderId="8" xfId="1" applyNumberFormat="1" applyFont="1" applyFill="1" applyBorder="1" applyAlignment="1">
      <alignment horizontal="right" vertical="center"/>
    </xf>
    <xf numFmtId="10" fontId="5" fillId="6" borderId="9" xfId="1" applyNumberFormat="1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0" fontId="5" fillId="7" borderId="7" xfId="1" applyNumberFormat="1" applyFont="1" applyFill="1" applyBorder="1" applyAlignment="1">
      <alignment horizontal="right" vertical="center"/>
    </xf>
    <xf numFmtId="10" fontId="5" fillId="7" borderId="8" xfId="1" applyNumberFormat="1" applyFont="1" applyFill="1" applyBorder="1" applyAlignment="1">
      <alignment horizontal="right" vertical="center"/>
    </xf>
    <xf numFmtId="10" fontId="5" fillId="7" borderId="9" xfId="1" applyNumberFormat="1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center" vertical="center"/>
    </xf>
    <xf numFmtId="10" fontId="9" fillId="4" borderId="9" xfId="1" applyNumberFormat="1" applyFont="1" applyFill="1" applyBorder="1" applyAlignment="1">
      <alignment horizontal="right" vertical="center"/>
    </xf>
    <xf numFmtId="10" fontId="2" fillId="0" borderId="8" xfId="1" applyNumberFormat="1" applyFont="1" applyBorder="1"/>
    <xf numFmtId="10" fontId="2" fillId="0" borderId="9" xfId="1" applyNumberFormat="1" applyFont="1" applyBorder="1"/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/>
    </xf>
    <xf numFmtId="10" fontId="8" fillId="4" borderId="7" xfId="1" applyNumberFormat="1" applyFont="1" applyFill="1" applyBorder="1" applyAlignment="1">
      <alignment vertical="center"/>
    </xf>
    <xf numFmtId="10" fontId="8" fillId="4" borderId="8" xfId="1" applyNumberFormat="1" applyFont="1" applyFill="1" applyBorder="1" applyAlignment="1">
      <alignment vertical="center"/>
    </xf>
    <xf numFmtId="10" fontId="8" fillId="4" borderId="9" xfId="1" applyNumberFormat="1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1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289B-603F-4E6D-AE02-5F719895CD3C}">
  <dimension ref="A1:Q33"/>
  <sheetViews>
    <sheetView tabSelected="1" workbookViewId="0">
      <selection activeCell="M13" sqref="M13:M20"/>
    </sheetView>
  </sheetViews>
  <sheetFormatPr defaultRowHeight="14.4" x14ac:dyDescent="0.3"/>
  <cols>
    <col min="1" max="1" width="3.21875" bestFit="1" customWidth="1"/>
    <col min="2" max="2" width="43.21875" bestFit="1" customWidth="1"/>
    <col min="3" max="3" width="6.5546875" bestFit="1" customWidth="1"/>
    <col min="4" max="4" width="8.88671875" style="4"/>
    <col min="5" max="5" width="3.77734375" style="63" customWidth="1"/>
    <col min="6" max="7" width="15.77734375" bestFit="1" customWidth="1"/>
    <col min="8" max="8" width="3.77734375" style="63" customWidth="1"/>
    <col min="9" max="10" width="17.77734375" bestFit="1" customWidth="1"/>
    <col min="11" max="11" width="3.77734375" style="63" customWidth="1"/>
    <col min="12" max="12" width="17.21875" bestFit="1" customWidth="1"/>
    <col min="13" max="13" width="17.77734375" bestFit="1" customWidth="1"/>
    <col min="14" max="14" width="3.77734375" style="63" customWidth="1"/>
    <col min="15" max="16" width="15.77734375" bestFit="1" customWidth="1"/>
    <col min="17" max="17" width="3.77734375" style="63" customWidth="1"/>
  </cols>
  <sheetData>
    <row r="1" spans="1:17" s="1" customFormat="1" x14ac:dyDescent="0.3">
      <c r="D1" s="2"/>
      <c r="E1" s="3"/>
      <c r="F1" s="1" t="s">
        <v>0</v>
      </c>
      <c r="G1" s="1" t="s">
        <v>1</v>
      </c>
      <c r="H1" s="3"/>
      <c r="I1" s="1" t="s">
        <v>2</v>
      </c>
      <c r="J1" s="1" t="s">
        <v>3</v>
      </c>
      <c r="K1" s="3"/>
      <c r="L1" s="1" t="s">
        <v>4</v>
      </c>
      <c r="M1" s="1" t="s">
        <v>5</v>
      </c>
      <c r="N1" s="3"/>
      <c r="O1" s="1" t="s">
        <v>4</v>
      </c>
      <c r="P1" s="1" t="s">
        <v>5</v>
      </c>
      <c r="Q1" s="3"/>
    </row>
    <row r="2" spans="1:17" x14ac:dyDescent="0.3">
      <c r="D2" s="4" t="s">
        <v>6</v>
      </c>
      <c r="E2" s="5"/>
      <c r="F2" t="s">
        <v>7</v>
      </c>
      <c r="G2" t="s">
        <v>7</v>
      </c>
      <c r="H2" s="5"/>
      <c r="I2" t="s">
        <v>8</v>
      </c>
      <c r="J2" t="s">
        <v>8</v>
      </c>
      <c r="K2" s="5"/>
      <c r="L2" t="s">
        <v>9</v>
      </c>
      <c r="M2" t="s">
        <v>10</v>
      </c>
      <c r="N2" s="5"/>
      <c r="O2" t="s">
        <v>11</v>
      </c>
      <c r="P2" t="s">
        <v>11</v>
      </c>
      <c r="Q2" s="5"/>
    </row>
    <row r="3" spans="1:17" x14ac:dyDescent="0.3">
      <c r="A3" s="6" t="s">
        <v>12</v>
      </c>
      <c r="B3" s="7" t="s">
        <v>13</v>
      </c>
      <c r="C3" s="8" t="s">
        <v>14</v>
      </c>
      <c r="D3" s="9" t="s">
        <v>15</v>
      </c>
      <c r="E3" s="10"/>
      <c r="F3" s="9" t="s">
        <v>15</v>
      </c>
      <c r="G3" s="11" t="s">
        <v>15</v>
      </c>
      <c r="H3" s="10"/>
      <c r="I3" s="12" t="s">
        <v>15</v>
      </c>
      <c r="J3" s="13" t="s">
        <v>15</v>
      </c>
      <c r="K3" s="10"/>
      <c r="L3" s="9" t="s">
        <v>15</v>
      </c>
      <c r="M3" s="9" t="s">
        <v>15</v>
      </c>
      <c r="N3" s="10"/>
      <c r="O3" s="9" t="s">
        <v>15</v>
      </c>
      <c r="P3" s="9" t="s">
        <v>15</v>
      </c>
      <c r="Q3" s="10"/>
    </row>
    <row r="4" spans="1:17" x14ac:dyDescent="0.3">
      <c r="A4" s="14" t="s">
        <v>16</v>
      </c>
      <c r="B4" s="15"/>
      <c r="C4" s="16"/>
      <c r="D4" s="17" t="s">
        <v>17</v>
      </c>
      <c r="E4" s="10"/>
      <c r="F4" s="17" t="s">
        <v>17</v>
      </c>
      <c r="G4" s="18" t="s">
        <v>17</v>
      </c>
      <c r="H4" s="10"/>
      <c r="I4" s="19" t="s">
        <v>17</v>
      </c>
      <c r="J4" s="20" t="s">
        <v>17</v>
      </c>
      <c r="K4" s="10"/>
      <c r="L4" s="17" t="s">
        <v>17</v>
      </c>
      <c r="M4" s="17" t="s">
        <v>17</v>
      </c>
      <c r="N4" s="10"/>
      <c r="O4" s="17" t="s">
        <v>17</v>
      </c>
      <c r="P4" s="17" t="s">
        <v>17</v>
      </c>
      <c r="Q4" s="10"/>
    </row>
    <row r="5" spans="1:17" x14ac:dyDescent="0.3">
      <c r="A5" s="21" t="s">
        <v>18</v>
      </c>
      <c r="B5" s="22" t="s">
        <v>19</v>
      </c>
      <c r="C5" s="22"/>
      <c r="D5" s="23"/>
      <c r="E5" s="24"/>
      <c r="F5" s="23"/>
      <c r="G5" s="25"/>
      <c r="H5" s="24"/>
      <c r="I5" s="26"/>
      <c r="J5" s="27"/>
      <c r="K5" s="24"/>
      <c r="L5" s="23"/>
      <c r="M5" s="23"/>
      <c r="N5" s="24"/>
      <c r="O5" s="23"/>
      <c r="P5" s="23"/>
      <c r="Q5" s="24"/>
    </row>
    <row r="6" spans="1:17" x14ac:dyDescent="0.3">
      <c r="A6" s="28">
        <v>1</v>
      </c>
      <c r="B6" s="29" t="s">
        <v>20</v>
      </c>
      <c r="C6" s="28" t="s">
        <v>21</v>
      </c>
      <c r="D6" s="30">
        <v>0.51</v>
      </c>
      <c r="E6" s="10"/>
      <c r="F6" s="30">
        <v>0.51</v>
      </c>
      <c r="G6" s="31">
        <v>0.51</v>
      </c>
      <c r="H6" s="10"/>
      <c r="I6" s="32">
        <v>0.51</v>
      </c>
      <c r="J6" s="30">
        <v>0.51</v>
      </c>
      <c r="K6" s="10"/>
      <c r="L6" s="30">
        <v>0.51</v>
      </c>
      <c r="M6" s="30">
        <v>0.51</v>
      </c>
      <c r="N6" s="10"/>
      <c r="O6" s="30">
        <v>0.51</v>
      </c>
      <c r="P6" s="30">
        <v>0.51</v>
      </c>
      <c r="Q6" s="10"/>
    </row>
    <row r="7" spans="1:17" x14ac:dyDescent="0.3">
      <c r="A7" s="28">
        <v>2</v>
      </c>
      <c r="B7" s="29" t="s">
        <v>22</v>
      </c>
      <c r="C7" s="28" t="s">
        <v>21</v>
      </c>
      <c r="D7" s="30">
        <v>0.21</v>
      </c>
      <c r="E7" s="10"/>
      <c r="F7" s="30">
        <v>0.17499999999999999</v>
      </c>
      <c r="G7" s="31">
        <v>0.2</v>
      </c>
      <c r="H7" s="10"/>
      <c r="I7" s="32">
        <v>0.2</v>
      </c>
      <c r="J7" s="30">
        <v>0.22</v>
      </c>
      <c r="K7" s="10"/>
      <c r="L7" s="30">
        <v>0.2</v>
      </c>
      <c r="M7" s="30">
        <v>0.22</v>
      </c>
      <c r="N7" s="10"/>
      <c r="O7" s="30">
        <v>0.22</v>
      </c>
      <c r="P7" s="30">
        <v>0.25</v>
      </c>
      <c r="Q7" s="10"/>
    </row>
    <row r="8" spans="1:17" x14ac:dyDescent="0.3">
      <c r="A8" s="28">
        <v>3</v>
      </c>
      <c r="B8" s="29" t="s">
        <v>23</v>
      </c>
      <c r="C8" s="28" t="s">
        <v>21</v>
      </c>
      <c r="D8" s="30">
        <v>0.03</v>
      </c>
      <c r="E8" s="33"/>
      <c r="F8" s="30">
        <v>1.4999999999999999E-2</v>
      </c>
      <c r="G8" s="31">
        <v>0.02</v>
      </c>
      <c r="H8" s="33"/>
      <c r="I8" s="32">
        <v>0.02</v>
      </c>
      <c r="J8" s="30">
        <v>0.04</v>
      </c>
      <c r="K8" s="33"/>
      <c r="L8" s="34">
        <v>3.2500000000000001E-2</v>
      </c>
      <c r="M8" s="30">
        <v>0.04</v>
      </c>
      <c r="N8" s="33"/>
      <c r="O8" s="30">
        <v>0.05</v>
      </c>
      <c r="P8" s="30">
        <v>7.0000000000000007E-2</v>
      </c>
      <c r="Q8" s="33"/>
    </row>
    <row r="9" spans="1:17" x14ac:dyDescent="0.3">
      <c r="A9" s="28">
        <v>4</v>
      </c>
      <c r="B9" s="35" t="s">
        <v>24</v>
      </c>
      <c r="C9" s="36" t="s">
        <v>21</v>
      </c>
      <c r="D9" s="30">
        <v>0.18</v>
      </c>
      <c r="E9" s="37"/>
      <c r="F9" s="30">
        <v>0.1</v>
      </c>
      <c r="G9" s="31">
        <v>0.12</v>
      </c>
      <c r="H9" s="37"/>
      <c r="I9" s="32">
        <v>0.12</v>
      </c>
      <c r="J9" s="30">
        <v>0.12</v>
      </c>
      <c r="K9" s="37"/>
      <c r="L9" s="30">
        <v>0.1</v>
      </c>
      <c r="M9" s="30">
        <v>0.13</v>
      </c>
      <c r="N9" s="37"/>
      <c r="O9" s="30">
        <v>0.1588</v>
      </c>
      <c r="P9" s="30">
        <v>0.17</v>
      </c>
      <c r="Q9" s="37"/>
    </row>
    <row r="10" spans="1:17" x14ac:dyDescent="0.3">
      <c r="A10" s="38"/>
      <c r="B10" s="39" t="s">
        <v>25</v>
      </c>
      <c r="C10" s="38"/>
      <c r="D10" s="40">
        <f>SUM(D6:D9)</f>
        <v>0.92999999999999994</v>
      </c>
      <c r="E10" s="37"/>
      <c r="F10" s="40">
        <f>SUM(F6:F9)</f>
        <v>0.8</v>
      </c>
      <c r="G10" s="41">
        <f>SUM(G6:G9)</f>
        <v>0.85</v>
      </c>
      <c r="H10" s="37"/>
      <c r="I10" s="42">
        <f>SUM(I6:I9)</f>
        <v>0.85</v>
      </c>
      <c r="J10" s="40">
        <f>SUM(J6:J9)</f>
        <v>0.89</v>
      </c>
      <c r="K10" s="37"/>
      <c r="L10" s="40">
        <f>SUM(L6:L9)</f>
        <v>0.84249999999999992</v>
      </c>
      <c r="M10" s="40">
        <f>SUM(M6:M9)</f>
        <v>0.9</v>
      </c>
      <c r="N10" s="37"/>
      <c r="O10" s="40">
        <f>SUM(O6:O9)</f>
        <v>0.93880000000000008</v>
      </c>
      <c r="P10" s="40">
        <f>SUM(P6:P9)</f>
        <v>1</v>
      </c>
      <c r="Q10" s="37"/>
    </row>
    <row r="11" spans="1:17" x14ac:dyDescent="0.3">
      <c r="A11" s="43"/>
      <c r="B11" s="44" t="s">
        <v>26</v>
      </c>
      <c r="C11" s="43"/>
      <c r="D11" s="45">
        <f>D10</f>
        <v>0.92999999999999994</v>
      </c>
      <c r="E11" s="37"/>
      <c r="F11" s="45">
        <f>F10</f>
        <v>0.8</v>
      </c>
      <c r="G11" s="46">
        <f>G10</f>
        <v>0.85</v>
      </c>
      <c r="H11" s="37"/>
      <c r="I11" s="47">
        <f>I10</f>
        <v>0.85</v>
      </c>
      <c r="J11" s="45">
        <f>J10</f>
        <v>0.89</v>
      </c>
      <c r="K11" s="37"/>
      <c r="L11" s="45">
        <f>L10</f>
        <v>0.84249999999999992</v>
      </c>
      <c r="M11" s="45">
        <f>M10</f>
        <v>0.9</v>
      </c>
      <c r="N11" s="37"/>
      <c r="O11" s="45">
        <f>O10</f>
        <v>0.93880000000000008</v>
      </c>
      <c r="P11" s="45">
        <f>P10</f>
        <v>1</v>
      </c>
      <c r="Q11" s="37"/>
    </row>
    <row r="12" spans="1:17" x14ac:dyDescent="0.3">
      <c r="A12" s="48" t="s">
        <v>27</v>
      </c>
      <c r="B12" s="22" t="s">
        <v>28</v>
      </c>
      <c r="C12" s="22"/>
      <c r="D12" s="23"/>
      <c r="E12" s="37"/>
      <c r="F12" s="23"/>
      <c r="G12" s="25"/>
      <c r="H12" s="37"/>
      <c r="I12" s="49"/>
      <c r="J12" s="23"/>
      <c r="K12" s="37"/>
      <c r="L12" s="23"/>
      <c r="M12" s="23"/>
      <c r="N12" s="37"/>
      <c r="O12" s="23"/>
      <c r="P12" s="23"/>
      <c r="Q12" s="37"/>
    </row>
    <row r="13" spans="1:17" x14ac:dyDescent="0.3">
      <c r="A13" s="28">
        <v>7</v>
      </c>
      <c r="B13" s="35" t="s">
        <v>29</v>
      </c>
      <c r="C13" s="36" t="s">
        <v>21</v>
      </c>
      <c r="D13" s="30">
        <v>0</v>
      </c>
      <c r="E13" s="37"/>
      <c r="F13" s="34">
        <v>5.1999999999999998E-3</v>
      </c>
      <c r="G13" s="50">
        <v>7.6E-3</v>
      </c>
      <c r="H13" s="37"/>
      <c r="I13" s="51">
        <v>3.8E-3</v>
      </c>
      <c r="J13" s="34">
        <v>5.0000000000000001E-3</v>
      </c>
      <c r="K13" s="37"/>
      <c r="L13" s="34">
        <v>9.4000000000000004E-3</v>
      </c>
      <c r="M13" s="34">
        <v>0.01</v>
      </c>
      <c r="N13" s="37"/>
      <c r="O13" s="30">
        <v>0</v>
      </c>
      <c r="P13" s="30">
        <v>0</v>
      </c>
      <c r="Q13" s="37"/>
    </row>
    <row r="14" spans="1:17" x14ac:dyDescent="0.3">
      <c r="A14" s="28">
        <v>9</v>
      </c>
      <c r="B14" s="35" t="s">
        <v>30</v>
      </c>
      <c r="C14" s="36" t="s">
        <v>21</v>
      </c>
      <c r="D14" s="30">
        <v>0</v>
      </c>
      <c r="E14" s="37"/>
      <c r="F14" s="30">
        <v>0.01</v>
      </c>
      <c r="G14" s="31">
        <v>0.01</v>
      </c>
      <c r="H14" s="37"/>
      <c r="I14" s="32">
        <v>2.5000000000000001E-2</v>
      </c>
      <c r="J14" s="30">
        <v>2.5000000000000001E-2</v>
      </c>
      <c r="K14" s="37"/>
      <c r="L14" s="30">
        <v>0.03</v>
      </c>
      <c r="M14" s="30">
        <v>0.03</v>
      </c>
      <c r="N14" s="37"/>
      <c r="O14" s="30">
        <v>0</v>
      </c>
      <c r="P14" s="30">
        <v>0</v>
      </c>
      <c r="Q14" s="37"/>
    </row>
    <row r="15" spans="1:17" x14ac:dyDescent="0.3">
      <c r="A15" s="28">
        <v>6</v>
      </c>
      <c r="B15" s="35" t="s">
        <v>31</v>
      </c>
      <c r="C15" s="36" t="s">
        <v>21</v>
      </c>
      <c r="D15" s="30">
        <v>0</v>
      </c>
      <c r="E15" s="37"/>
      <c r="F15" s="30">
        <v>0.03</v>
      </c>
      <c r="G15" s="31">
        <v>5.5E-2</v>
      </c>
      <c r="H15" s="37"/>
      <c r="I15" s="32">
        <v>0.02</v>
      </c>
      <c r="J15" s="30">
        <v>0.02</v>
      </c>
      <c r="K15" s="37"/>
      <c r="L15" s="30">
        <v>0</v>
      </c>
      <c r="M15" s="30">
        <v>0</v>
      </c>
      <c r="N15" s="37"/>
      <c r="O15" s="30">
        <v>0</v>
      </c>
      <c r="P15" s="30">
        <v>0</v>
      </c>
      <c r="Q15" s="37"/>
    </row>
    <row r="16" spans="1:17" x14ac:dyDescent="0.3">
      <c r="A16" s="28">
        <v>10</v>
      </c>
      <c r="B16" s="35" t="s">
        <v>32</v>
      </c>
      <c r="C16" s="36" t="s">
        <v>21</v>
      </c>
      <c r="D16" s="30">
        <v>7.0000000000000007E-2</v>
      </c>
      <c r="E16" s="37"/>
      <c r="F16" s="30">
        <v>0</v>
      </c>
      <c r="G16" s="31">
        <v>0</v>
      </c>
      <c r="H16" s="37"/>
      <c r="I16" s="32">
        <v>0</v>
      </c>
      <c r="J16" s="30">
        <v>0.02</v>
      </c>
      <c r="K16" s="37"/>
      <c r="L16" s="30">
        <v>0</v>
      </c>
      <c r="M16" s="30">
        <v>0</v>
      </c>
      <c r="N16" s="37"/>
      <c r="O16" s="30">
        <v>0</v>
      </c>
      <c r="P16" s="30">
        <v>0</v>
      </c>
      <c r="Q16" s="37"/>
    </row>
    <row r="17" spans="1:17" x14ac:dyDescent="0.3">
      <c r="A17" s="28">
        <v>8</v>
      </c>
      <c r="B17" s="35" t="s">
        <v>33</v>
      </c>
      <c r="C17" s="36" t="s">
        <v>21</v>
      </c>
      <c r="D17" s="30">
        <v>0</v>
      </c>
      <c r="E17" s="37"/>
      <c r="F17" s="30">
        <v>5.0000000000000001E-3</v>
      </c>
      <c r="G17" s="31">
        <v>5.0000000000000001E-3</v>
      </c>
      <c r="H17" s="37"/>
      <c r="I17" s="32">
        <v>0.02</v>
      </c>
      <c r="J17" s="30">
        <v>0.02</v>
      </c>
      <c r="K17" s="37"/>
      <c r="L17" s="30">
        <v>2.2499999999999999E-2</v>
      </c>
      <c r="M17" s="30">
        <v>2.5000000000000001E-2</v>
      </c>
      <c r="N17" s="37"/>
      <c r="O17" s="30">
        <v>0</v>
      </c>
      <c r="P17" s="30">
        <v>0</v>
      </c>
      <c r="Q17" s="37"/>
    </row>
    <row r="18" spans="1:17" x14ac:dyDescent="0.3">
      <c r="A18" s="28">
        <v>5</v>
      </c>
      <c r="B18" s="35" t="s">
        <v>34</v>
      </c>
      <c r="C18" s="36" t="s">
        <v>21</v>
      </c>
      <c r="D18" s="30">
        <v>0</v>
      </c>
      <c r="E18" s="37"/>
      <c r="F18" s="30">
        <v>0.03</v>
      </c>
      <c r="G18" s="31">
        <v>5.5E-2</v>
      </c>
      <c r="H18" s="37"/>
      <c r="I18" s="32">
        <v>0.02</v>
      </c>
      <c r="J18" s="30">
        <v>0.02</v>
      </c>
      <c r="K18" s="37"/>
      <c r="L18" s="30">
        <v>0</v>
      </c>
      <c r="M18" s="30">
        <v>0</v>
      </c>
      <c r="N18" s="37"/>
      <c r="O18" s="30">
        <v>0</v>
      </c>
      <c r="P18" s="30">
        <v>0</v>
      </c>
      <c r="Q18" s="37"/>
    </row>
    <row r="19" spans="1:17" x14ac:dyDescent="0.3">
      <c r="A19" s="28">
        <v>11</v>
      </c>
      <c r="B19" s="35" t="s">
        <v>35</v>
      </c>
      <c r="C19" s="36" t="s">
        <v>21</v>
      </c>
      <c r="D19" s="30">
        <v>0</v>
      </c>
      <c r="E19" s="37"/>
      <c r="F19" s="34">
        <v>1.0200000000000001E-2</v>
      </c>
      <c r="G19" s="50">
        <v>1.7399999999999999E-2</v>
      </c>
      <c r="H19" s="37"/>
      <c r="I19" s="32">
        <v>0</v>
      </c>
      <c r="J19" s="34">
        <v>0</v>
      </c>
      <c r="K19" s="37"/>
      <c r="L19" s="34">
        <v>3.44E-2</v>
      </c>
      <c r="M19" s="34">
        <v>3.5000000000000003E-2</v>
      </c>
      <c r="N19" s="37"/>
      <c r="O19" s="30">
        <v>0</v>
      </c>
      <c r="P19" s="30">
        <v>0</v>
      </c>
      <c r="Q19" s="37"/>
    </row>
    <row r="20" spans="1:17" x14ac:dyDescent="0.3">
      <c r="A20" s="38"/>
      <c r="B20" s="39" t="s">
        <v>36</v>
      </c>
      <c r="C20" s="38"/>
      <c r="D20" s="40">
        <f>SUM(D18:D19)</f>
        <v>0</v>
      </c>
      <c r="E20" s="37"/>
      <c r="F20" s="40">
        <f>SUM(F13:F19)</f>
        <v>9.0399999999999994E-2</v>
      </c>
      <c r="G20" s="41">
        <f>SUM(G13:G19)</f>
        <v>0.15</v>
      </c>
      <c r="H20" s="37"/>
      <c r="I20" s="42">
        <f>SUM(I13:I19)</f>
        <v>8.8800000000000004E-2</v>
      </c>
      <c r="J20" s="40">
        <f>SUM(J13:J19)</f>
        <v>0.11000000000000001</v>
      </c>
      <c r="K20" s="37"/>
      <c r="L20" s="40">
        <f>SUM(L13:L19)</f>
        <v>9.6299999999999997E-2</v>
      </c>
      <c r="M20" s="40">
        <f>SUM(M13:M19)</f>
        <v>0.1</v>
      </c>
      <c r="N20" s="37"/>
      <c r="O20" s="40">
        <f>SUM(O18:O19)</f>
        <v>0</v>
      </c>
      <c r="P20" s="40">
        <f>SUM(P18:P19)</f>
        <v>0</v>
      </c>
      <c r="Q20" s="37"/>
    </row>
    <row r="21" spans="1:17" x14ac:dyDescent="0.3">
      <c r="A21" s="52"/>
      <c r="B21" s="53" t="s">
        <v>37</v>
      </c>
      <c r="C21" s="52"/>
      <c r="D21" s="45">
        <f>D20</f>
        <v>0</v>
      </c>
      <c r="E21" s="37"/>
      <c r="F21" s="45">
        <f>F20</f>
        <v>9.0399999999999994E-2</v>
      </c>
      <c r="G21" s="46">
        <f>G20</f>
        <v>0.15</v>
      </c>
      <c r="H21" s="37"/>
      <c r="I21" s="47">
        <f>I20</f>
        <v>8.8800000000000004E-2</v>
      </c>
      <c r="J21" s="45">
        <f>J20</f>
        <v>0.11000000000000001</v>
      </c>
      <c r="K21" s="37"/>
      <c r="L21" s="45">
        <f>L20</f>
        <v>9.6299999999999997E-2</v>
      </c>
      <c r="M21" s="45">
        <f>M20</f>
        <v>0.1</v>
      </c>
      <c r="N21" s="37"/>
      <c r="O21" s="45">
        <f>O20</f>
        <v>0</v>
      </c>
      <c r="P21" s="45">
        <f>P20</f>
        <v>0</v>
      </c>
      <c r="Q21" s="37"/>
    </row>
    <row r="22" spans="1:17" x14ac:dyDescent="0.3">
      <c r="A22" s="48" t="s">
        <v>38</v>
      </c>
      <c r="B22" s="22" t="s">
        <v>39</v>
      </c>
      <c r="C22" s="22"/>
      <c r="D22" s="54"/>
      <c r="E22" s="37"/>
      <c r="F22" s="54"/>
      <c r="G22" s="55"/>
      <c r="H22" s="37"/>
      <c r="I22" s="56"/>
      <c r="J22" s="54"/>
      <c r="K22" s="37"/>
      <c r="L22" s="54"/>
      <c r="M22" s="54"/>
      <c r="N22" s="37"/>
      <c r="O22" s="54"/>
      <c r="P22" s="54"/>
      <c r="Q22" s="37"/>
    </row>
    <row r="23" spans="1:17" x14ac:dyDescent="0.3">
      <c r="A23" s="28">
        <v>12</v>
      </c>
      <c r="B23" s="35" t="s">
        <v>40</v>
      </c>
      <c r="C23" s="36" t="s">
        <v>21</v>
      </c>
      <c r="D23" s="30">
        <v>0</v>
      </c>
      <c r="E23" s="37"/>
      <c r="F23" s="34">
        <v>6.1200044949329846E-2</v>
      </c>
      <c r="G23" s="50">
        <v>0</v>
      </c>
      <c r="H23" s="37"/>
      <c r="I23" s="51">
        <v>6.1200094702782329E-2</v>
      </c>
      <c r="J23" s="34">
        <v>0</v>
      </c>
      <c r="K23" s="37"/>
      <c r="L23" s="34">
        <v>6.1199999999999997E-2</v>
      </c>
      <c r="M23" s="34">
        <v>0</v>
      </c>
      <c r="N23" s="37"/>
      <c r="O23" s="34">
        <v>6.1199999999999997E-2</v>
      </c>
      <c r="P23" s="34">
        <v>0</v>
      </c>
      <c r="Q23" s="37"/>
    </row>
    <row r="24" spans="1:17" x14ac:dyDescent="0.3">
      <c r="A24" s="57">
        <v>13</v>
      </c>
      <c r="B24" s="35" t="s">
        <v>41</v>
      </c>
      <c r="C24" s="36" t="s">
        <v>42</v>
      </c>
      <c r="D24" s="30">
        <v>0</v>
      </c>
      <c r="E24" s="58"/>
      <c r="F24" s="34">
        <v>0</v>
      </c>
      <c r="G24" s="50">
        <v>0</v>
      </c>
      <c r="H24" s="58"/>
      <c r="I24" s="32">
        <v>0</v>
      </c>
      <c r="J24" s="30">
        <v>0</v>
      </c>
      <c r="K24" s="58"/>
      <c r="L24" s="30">
        <v>0</v>
      </c>
      <c r="M24" s="30">
        <v>0</v>
      </c>
      <c r="N24" s="58"/>
      <c r="O24" s="30">
        <v>0</v>
      </c>
      <c r="P24" s="30">
        <v>0</v>
      </c>
      <c r="Q24" s="58"/>
    </row>
    <row r="25" spans="1:17" x14ac:dyDescent="0.3">
      <c r="A25" s="38"/>
      <c r="B25" s="39" t="s">
        <v>43</v>
      </c>
      <c r="C25" s="38"/>
      <c r="D25" s="40">
        <f>SUM(D23:D24)</f>
        <v>0</v>
      </c>
      <c r="E25" s="37"/>
      <c r="F25" s="40">
        <f>SUM(F23:F24)</f>
        <v>6.1200044949329846E-2</v>
      </c>
      <c r="G25" s="41">
        <f>SUM(G23:G24)</f>
        <v>0</v>
      </c>
      <c r="H25" s="37"/>
      <c r="I25" s="42">
        <f>SUM(I23:I24)</f>
        <v>6.1200094702782329E-2</v>
      </c>
      <c r="J25" s="40">
        <f>SUM(J23:J24)</f>
        <v>0</v>
      </c>
      <c r="K25" s="37"/>
      <c r="L25" s="40">
        <f>SUM(L23:L24)</f>
        <v>6.1199999999999997E-2</v>
      </c>
      <c r="M25" s="40">
        <f>SUM(M23:M24)</f>
        <v>0</v>
      </c>
      <c r="N25" s="37"/>
      <c r="O25" s="40">
        <f>SUM(O23:O24)</f>
        <v>6.1199999999999997E-2</v>
      </c>
      <c r="P25" s="40">
        <f>SUM(P23:P24)</f>
        <v>0</v>
      </c>
      <c r="Q25" s="37"/>
    </row>
    <row r="26" spans="1:17" x14ac:dyDescent="0.3">
      <c r="A26" s="52"/>
      <c r="B26" s="53" t="s">
        <v>44</v>
      </c>
      <c r="C26" s="52"/>
      <c r="D26" s="45">
        <f>D25</f>
        <v>0</v>
      </c>
      <c r="E26" s="37"/>
      <c r="F26" s="45">
        <f>F25</f>
        <v>6.1200044949329846E-2</v>
      </c>
      <c r="G26" s="46">
        <f>G25</f>
        <v>0</v>
      </c>
      <c r="H26" s="37"/>
      <c r="I26" s="47">
        <f>I25</f>
        <v>6.1200094702782329E-2</v>
      </c>
      <c r="J26" s="45">
        <f>J25</f>
        <v>0</v>
      </c>
      <c r="K26" s="37"/>
      <c r="L26" s="45">
        <f>L25</f>
        <v>6.1199999999999997E-2</v>
      </c>
      <c r="M26" s="45">
        <f>M25</f>
        <v>0</v>
      </c>
      <c r="N26" s="37"/>
      <c r="O26" s="45">
        <f>O25</f>
        <v>6.1199999999999997E-2</v>
      </c>
      <c r="P26" s="45">
        <f>P25</f>
        <v>0</v>
      </c>
      <c r="Q26" s="37"/>
    </row>
    <row r="27" spans="1:17" x14ac:dyDescent="0.3">
      <c r="A27" s="59" t="s">
        <v>45</v>
      </c>
      <c r="B27" s="60" t="s">
        <v>46</v>
      </c>
      <c r="C27" s="61" t="s">
        <v>47</v>
      </c>
      <c r="D27" s="30">
        <v>0</v>
      </c>
      <c r="E27" s="37"/>
      <c r="F27" s="34">
        <v>4.8399999999999999E-2</v>
      </c>
      <c r="G27" s="50">
        <v>0</v>
      </c>
      <c r="H27" s="37"/>
      <c r="I27" s="32">
        <v>0</v>
      </c>
      <c r="J27" s="30">
        <v>0</v>
      </c>
      <c r="K27" s="37"/>
      <c r="L27" s="30">
        <v>0</v>
      </c>
      <c r="M27" s="30">
        <v>0</v>
      </c>
      <c r="N27" s="37"/>
      <c r="O27" s="30">
        <v>0</v>
      </c>
      <c r="P27" s="30">
        <v>0</v>
      </c>
      <c r="Q27" s="37"/>
    </row>
    <row r="28" spans="1:17" x14ac:dyDescent="0.3">
      <c r="A28" s="38"/>
      <c r="B28" s="39" t="s">
        <v>48</v>
      </c>
      <c r="C28" s="38"/>
      <c r="D28" s="40"/>
      <c r="E28" s="37"/>
      <c r="F28" s="40">
        <f>SUM(F27)</f>
        <v>4.8399999999999999E-2</v>
      </c>
      <c r="G28" s="41">
        <f>G27</f>
        <v>0</v>
      </c>
      <c r="H28" s="37"/>
      <c r="I28" s="42">
        <f>SUM(I27)</f>
        <v>0</v>
      </c>
      <c r="J28" s="40">
        <f>SUM(J27)</f>
        <v>0</v>
      </c>
      <c r="K28" s="37"/>
      <c r="L28" s="40">
        <f>SUM(L27)</f>
        <v>0</v>
      </c>
      <c r="M28" s="40">
        <f>SUM(M27)</f>
        <v>0</v>
      </c>
      <c r="N28" s="37"/>
      <c r="O28" s="40">
        <f>SUM(O27)</f>
        <v>0</v>
      </c>
      <c r="P28" s="40">
        <f>SUM(P27)</f>
        <v>0</v>
      </c>
      <c r="Q28" s="37"/>
    </row>
    <row r="29" spans="1:17" x14ac:dyDescent="0.3">
      <c r="A29" s="52"/>
      <c r="B29" s="53" t="s">
        <v>49</v>
      </c>
      <c r="C29" s="52"/>
      <c r="D29" s="45"/>
      <c r="E29" s="37"/>
      <c r="F29" s="45">
        <f>F28</f>
        <v>4.8399999999999999E-2</v>
      </c>
      <c r="G29" s="46">
        <f>G28</f>
        <v>0</v>
      </c>
      <c r="H29" s="37"/>
      <c r="I29" s="47">
        <f>I28</f>
        <v>0</v>
      </c>
      <c r="J29" s="45">
        <f>J28</f>
        <v>0</v>
      </c>
      <c r="K29" s="37"/>
      <c r="L29" s="45">
        <f>L28</f>
        <v>0</v>
      </c>
      <c r="M29" s="45">
        <f>M28</f>
        <v>0</v>
      </c>
      <c r="N29" s="37"/>
      <c r="O29" s="45">
        <f>O28</f>
        <v>0</v>
      </c>
      <c r="P29" s="45">
        <f>P28</f>
        <v>0</v>
      </c>
      <c r="Q29" s="37"/>
    </row>
    <row r="30" spans="1:17" x14ac:dyDescent="0.3">
      <c r="A30" s="43"/>
      <c r="B30" s="44" t="s">
        <v>50</v>
      </c>
      <c r="C30" s="43"/>
      <c r="D30" s="45">
        <f>D11+D21+D26+D27</f>
        <v>0.92999999999999994</v>
      </c>
      <c r="E30" s="62"/>
      <c r="F30" s="45">
        <f>F29+F26+F21+F11</f>
        <v>1.0000000449493298</v>
      </c>
      <c r="G30" s="46">
        <f>G11+G21+G26+G29</f>
        <v>1</v>
      </c>
      <c r="H30" s="62"/>
      <c r="I30" s="47">
        <f>I29+I26+I21+I11</f>
        <v>1.0000000947027823</v>
      </c>
      <c r="J30" s="45">
        <f>J29+J26+J21+J11</f>
        <v>1</v>
      </c>
      <c r="K30" s="62"/>
      <c r="L30" s="45">
        <f>L29+L26+L21+L11</f>
        <v>0.99999999999999989</v>
      </c>
      <c r="M30" s="45">
        <f>M29+M26+M21+M11</f>
        <v>1</v>
      </c>
      <c r="N30" s="62"/>
      <c r="O30" s="45">
        <f>O29+O26+O21+O11</f>
        <v>1</v>
      </c>
      <c r="P30" s="45">
        <f>P29+P26+P21+P11</f>
        <v>1</v>
      </c>
      <c r="Q30" s="62"/>
    </row>
    <row r="31" spans="1:17" x14ac:dyDescent="0.3">
      <c r="E31" s="62"/>
      <c r="H31" s="62"/>
      <c r="K31" s="62"/>
      <c r="N31" s="62"/>
      <c r="Q31" s="62"/>
    </row>
    <row r="32" spans="1:17" x14ac:dyDescent="0.3">
      <c r="E32" s="37"/>
      <c r="H32" s="37"/>
      <c r="K32" s="37"/>
      <c r="N32" s="37"/>
      <c r="Q32" s="37"/>
    </row>
    <row r="33" spans="5:17" x14ac:dyDescent="0.3">
      <c r="E33" s="37"/>
      <c r="H33" s="37"/>
      <c r="K33" s="37"/>
      <c r="N33" s="37"/>
      <c r="Q33" s="37"/>
    </row>
  </sheetData>
  <mergeCells count="5">
    <mergeCell ref="B3:B4"/>
    <mergeCell ref="C3:C4"/>
    <mergeCell ref="B5:C5"/>
    <mergeCell ref="B12:C12"/>
    <mergeCell ref="B22:C22"/>
  </mergeCells>
  <conditionalFormatting sqref="D6:D9 D13:D19 F13:G19 I13:J19 L13:M19 O13:P19">
    <cfRule type="notContainsErrors" dxfId="14" priority="15">
      <formula>NOT(ISERROR(D6))</formula>
    </cfRule>
  </conditionalFormatting>
  <conditionalFormatting sqref="D23:D24">
    <cfRule type="notContainsErrors" dxfId="13" priority="14">
      <formula>NOT(ISERROR(D23))</formula>
    </cfRule>
  </conditionalFormatting>
  <conditionalFormatting sqref="D27">
    <cfRule type="notContainsErrors" dxfId="12" priority="13">
      <formula>NOT(ISERROR(D27))</formula>
    </cfRule>
  </conditionalFormatting>
  <conditionalFormatting sqref="F6:G9">
    <cfRule type="notContainsErrors" dxfId="11" priority="8">
      <formula>NOT(ISERROR(F6))</formula>
    </cfRule>
  </conditionalFormatting>
  <conditionalFormatting sqref="F23:G24">
    <cfRule type="notContainsErrors" dxfId="10" priority="10">
      <formula>NOT(ISERROR(F23))</formula>
    </cfRule>
  </conditionalFormatting>
  <conditionalFormatting sqref="F27:G27">
    <cfRule type="notContainsErrors" dxfId="9" priority="9">
      <formula>NOT(ISERROR(F27))</formula>
    </cfRule>
  </conditionalFormatting>
  <conditionalFormatting sqref="I6:J9">
    <cfRule type="notContainsErrors" dxfId="8" priority="7">
      <formula>NOT(ISERROR(I6))</formula>
    </cfRule>
  </conditionalFormatting>
  <conditionalFormatting sqref="I23:J24">
    <cfRule type="notContainsErrors" dxfId="7" priority="12">
      <formula>NOT(ISERROR(I23))</formula>
    </cfRule>
  </conditionalFormatting>
  <conditionalFormatting sqref="I27:J27">
    <cfRule type="notContainsErrors" dxfId="6" priority="11">
      <formula>NOT(ISERROR(I27))</formula>
    </cfRule>
  </conditionalFormatting>
  <conditionalFormatting sqref="L6:M9">
    <cfRule type="notContainsErrors" dxfId="5" priority="4">
      <formula>NOT(ISERROR(L6))</formula>
    </cfRule>
  </conditionalFormatting>
  <conditionalFormatting sqref="L23:M24">
    <cfRule type="notContainsErrors" dxfId="4" priority="6">
      <formula>NOT(ISERROR(L23))</formula>
    </cfRule>
  </conditionalFormatting>
  <conditionalFormatting sqref="L27:M27">
    <cfRule type="notContainsErrors" dxfId="3" priority="5">
      <formula>NOT(ISERROR(L27))</formula>
    </cfRule>
  </conditionalFormatting>
  <conditionalFormatting sqref="O6:P9">
    <cfRule type="notContainsErrors" dxfId="2" priority="1">
      <formula>NOT(ISERROR(O6))</formula>
    </cfRule>
  </conditionalFormatting>
  <conditionalFormatting sqref="O23:P24">
    <cfRule type="notContainsErrors" dxfId="1" priority="3">
      <formula>NOT(ISERROR(O23))</formula>
    </cfRule>
  </conditionalFormatting>
  <conditionalFormatting sqref="O27:P27">
    <cfRule type="notContainsErrors" dxfId="0" priority="2">
      <formula>NOT(ISERROR(O27))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Appx. 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 Merchantile Pvt Ltd</dc:creator>
  <cp:lastModifiedBy>Tejal Merchantile Pvt Ltd</cp:lastModifiedBy>
  <dcterms:created xsi:type="dcterms:W3CDTF">2026-06-05T04:00:35Z</dcterms:created>
  <dcterms:modified xsi:type="dcterms:W3CDTF">2026-06-05T04:04:49Z</dcterms:modified>
</cp:coreProperties>
</file>