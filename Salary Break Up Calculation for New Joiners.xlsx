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MPL - WORKING FOLDERS\HUMAN RESOURCE\"/>
    </mc:Choice>
  </mc:AlternateContent>
  <xr:revisionPtr revIDLastSave="0" documentId="13_ncr:1_{4CEAD281-5F1F-479E-9946-9A07E2EBA7C9}" xr6:coauthVersionLast="47" xr6:coauthVersionMax="47" xr10:uidLastSave="{00000000-0000-0000-0000-000000000000}"/>
  <bookViews>
    <workbookView xWindow="-108" yWindow="-108" windowWidth="23256" windowHeight="12456" xr2:uid="{1BBABC5A-3918-44FF-AA5F-CEDF5A93BF91}"/>
  </bookViews>
  <sheets>
    <sheet name="VYOX" sheetId="1" r:id="rId1"/>
    <sheet name="Poli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8" i="1" l="1"/>
  <c r="T28" i="1"/>
  <c r="S26" i="1"/>
  <c r="T26" i="1"/>
  <c r="S23" i="1"/>
  <c r="T23" i="1"/>
  <c r="S22" i="1"/>
  <c r="T22" i="1"/>
  <c r="S21" i="1"/>
  <c r="T21" i="1"/>
  <c r="S20" i="1"/>
  <c r="T20" i="1"/>
  <c r="S19" i="1"/>
  <c r="T19" i="1"/>
  <c r="R19" i="1"/>
  <c r="S18" i="1"/>
  <c r="T18" i="1"/>
  <c r="S17" i="1"/>
  <c r="T17" i="1"/>
  <c r="S16" i="1"/>
  <c r="T16" i="1"/>
  <c r="S15" i="1"/>
  <c r="T15" i="1"/>
  <c r="S14" i="1"/>
  <c r="T14" i="1"/>
  <c r="S13" i="1"/>
  <c r="T13" i="1"/>
  <c r="R13" i="1"/>
  <c r="R14" i="1"/>
  <c r="R15" i="1"/>
  <c r="R16" i="1"/>
  <c r="R17" i="1"/>
  <c r="R18" i="1"/>
  <c r="R20" i="1"/>
  <c r="R21" i="1" s="1"/>
  <c r="R23" i="1" s="1"/>
  <c r="R28" i="1" s="1"/>
  <c r="R22" i="1"/>
  <c r="R26" i="1"/>
  <c r="R9" i="1"/>
  <c r="S9" i="1"/>
  <c r="T9" i="1"/>
  <c r="R10" i="1"/>
  <c r="S10" i="1"/>
  <c r="T10" i="1"/>
  <c r="R11" i="1"/>
  <c r="S11" i="1"/>
  <c r="T11" i="1"/>
  <c r="R12" i="1"/>
  <c r="S12" i="1"/>
  <c r="T12" i="1"/>
  <c r="S8" i="1"/>
  <c r="T8" i="1"/>
  <c r="R8" i="1"/>
  <c r="K8" i="1"/>
  <c r="K9" i="1"/>
  <c r="K10" i="1"/>
  <c r="K11" i="1"/>
  <c r="N11" i="1" s="1"/>
  <c r="K15" i="1"/>
  <c r="N15" i="1" s="1"/>
  <c r="K16" i="1"/>
  <c r="K17" i="1"/>
  <c r="N17" i="1" s="1"/>
  <c r="K18" i="1"/>
  <c r="N18" i="1" s="1"/>
  <c r="K19" i="1"/>
  <c r="N19" i="1" s="1"/>
  <c r="K20" i="1"/>
  <c r="N20" i="1" s="1"/>
  <c r="I30" i="1"/>
  <c r="I31" i="1" s="1"/>
  <c r="H30" i="1"/>
  <c r="H31" i="1" s="1"/>
  <c r="G30" i="1"/>
  <c r="G31" i="1" s="1"/>
  <c r="I27" i="1"/>
  <c r="I28" i="1" s="1"/>
  <c r="H25" i="1"/>
  <c r="H27" i="1" s="1"/>
  <c r="H28" i="1" s="1"/>
  <c r="I12" i="1"/>
  <c r="I13" i="1" s="1"/>
  <c r="L13" i="1" s="1"/>
  <c r="H12" i="1"/>
  <c r="H13" i="1" s="1"/>
  <c r="K13" i="1" s="1"/>
  <c r="G12" i="1"/>
  <c r="G13" i="1" s="1"/>
  <c r="J13" i="1" s="1"/>
  <c r="N31" i="1"/>
  <c r="N30" i="1"/>
  <c r="N29" i="1"/>
  <c r="O28" i="1"/>
  <c r="O27" i="1"/>
  <c r="K27" i="1"/>
  <c r="N27" i="1" s="1"/>
  <c r="N26" i="1"/>
  <c r="O25" i="1"/>
  <c r="N25" i="1"/>
  <c r="N24" i="1"/>
  <c r="L21" i="1"/>
  <c r="O21" i="1" s="1"/>
  <c r="K21" i="1"/>
  <c r="N21" i="1" s="1"/>
  <c r="J21" i="1"/>
  <c r="M21" i="1" s="1"/>
  <c r="L20" i="1"/>
  <c r="J20" i="1"/>
  <c r="L19" i="1"/>
  <c r="O19" i="1" s="1"/>
  <c r="J19" i="1"/>
  <c r="M19" i="1" s="1"/>
  <c r="L18" i="1"/>
  <c r="O18" i="1" s="1"/>
  <c r="J18" i="1"/>
  <c r="M18" i="1" s="1"/>
  <c r="L17" i="1"/>
  <c r="O17" i="1" s="1"/>
  <c r="J17" i="1"/>
  <c r="M17" i="1" s="1"/>
  <c r="L16" i="1"/>
  <c r="O16" i="1" s="1"/>
  <c r="J16" i="1"/>
  <c r="M16" i="1" s="1"/>
  <c r="L15" i="1"/>
  <c r="O15" i="1" s="1"/>
  <c r="J15" i="1"/>
  <c r="N14" i="1"/>
  <c r="L11" i="1"/>
  <c r="O11" i="1" s="1"/>
  <c r="J11" i="1"/>
  <c r="M11" i="1" s="1"/>
  <c r="L10" i="1"/>
  <c r="O10" i="1" s="1"/>
  <c r="N10" i="1"/>
  <c r="J10" i="1"/>
  <c r="M10" i="1" s="1"/>
  <c r="L9" i="1"/>
  <c r="O9" i="1" s="1"/>
  <c r="N9" i="1"/>
  <c r="J9" i="1"/>
  <c r="M9" i="1" s="1"/>
  <c r="N8" i="1"/>
  <c r="L8" i="1"/>
  <c r="J8" i="1"/>
  <c r="J25" i="1" s="1"/>
  <c r="G25" i="1" s="1"/>
  <c r="G27" i="1" s="1"/>
  <c r="G28" i="1" s="1"/>
  <c r="G21" i="1" l="1"/>
  <c r="G22" i="1" s="1"/>
  <c r="G23" i="1" s="1"/>
  <c r="H21" i="1"/>
  <c r="H22" i="1" s="1"/>
  <c r="H23" i="1" s="1"/>
  <c r="I21" i="1"/>
  <c r="I22" i="1" s="1"/>
  <c r="I23" i="1" s="1"/>
  <c r="M8" i="1"/>
  <c r="H32" i="1"/>
  <c r="I32" i="1"/>
  <c r="G32" i="1"/>
  <c r="K22" i="1"/>
  <c r="K23" i="1" s="1"/>
  <c r="N23" i="1" s="1"/>
  <c r="J22" i="1"/>
  <c r="L12" i="1"/>
  <c r="O12" i="1" s="1"/>
  <c r="M22" i="1"/>
  <c r="J23" i="1"/>
  <c r="M23" i="1" s="1"/>
  <c r="M13" i="1"/>
  <c r="O13" i="1"/>
  <c r="N13" i="1"/>
  <c r="J12" i="1"/>
  <c r="M12" i="1" s="1"/>
  <c r="L22" i="1"/>
  <c r="J27" i="1"/>
  <c r="K12" i="1"/>
  <c r="N12" i="1" s="1"/>
  <c r="K28" i="1"/>
  <c r="N28" i="1" s="1"/>
  <c r="N16" i="1"/>
  <c r="M25" i="1"/>
  <c r="O8" i="1"/>
  <c r="M15" i="1"/>
  <c r="N22" i="1" l="1"/>
  <c r="M27" i="1"/>
  <c r="J28" i="1"/>
  <c r="O22" i="1"/>
  <c r="L23" i="1"/>
  <c r="K32" i="1"/>
  <c r="N32" i="1" s="1"/>
  <c r="O23" i="1" l="1"/>
  <c r="L32" i="1"/>
  <c r="O32" i="1" s="1"/>
  <c r="M28" i="1"/>
  <c r="J32" i="1"/>
  <c r="M32" i="1" s="1"/>
  <c r="AA20" i="1" l="1"/>
  <c r="Z20" i="1"/>
  <c r="AA12" i="1"/>
  <c r="Z12" i="1"/>
  <c r="P28" i="2"/>
  <c r="P29" i="2" s="1"/>
  <c r="O28" i="2"/>
  <c r="O29" i="2" s="1"/>
  <c r="O30" i="2" s="1"/>
  <c r="M28" i="2"/>
  <c r="M29" i="2" s="1"/>
  <c r="M30" i="2" s="1"/>
  <c r="L28" i="2"/>
  <c r="L29" i="2" s="1"/>
  <c r="L30" i="2" s="1"/>
  <c r="J28" i="2"/>
  <c r="J29" i="2" s="1"/>
  <c r="J30" i="2" s="1"/>
  <c r="I28" i="2"/>
  <c r="I29" i="2" s="1"/>
  <c r="G28" i="2"/>
  <c r="G29" i="2" s="1"/>
  <c r="F28" i="2"/>
  <c r="F29" i="2" s="1"/>
  <c r="O26" i="2"/>
  <c r="L26" i="2"/>
  <c r="I26" i="2"/>
  <c r="P25" i="2"/>
  <c r="P26" i="2" s="1"/>
  <c r="O25" i="2"/>
  <c r="M25" i="2"/>
  <c r="M26" i="2" s="1"/>
  <c r="L25" i="2"/>
  <c r="J25" i="2"/>
  <c r="J26" i="2" s="1"/>
  <c r="I25" i="2"/>
  <c r="G25" i="2"/>
  <c r="G26" i="2" s="1"/>
  <c r="F25" i="2"/>
  <c r="F26" i="2" s="1"/>
  <c r="D25" i="2"/>
  <c r="D26" i="2" s="1"/>
  <c r="O21" i="2"/>
  <c r="L21" i="2"/>
  <c r="F21" i="2"/>
  <c r="P20" i="2"/>
  <c r="P21" i="2" s="1"/>
  <c r="O20" i="2"/>
  <c r="M20" i="2"/>
  <c r="M21" i="2" s="1"/>
  <c r="L20" i="2"/>
  <c r="J20" i="2"/>
  <c r="J21" i="2" s="1"/>
  <c r="I20" i="2"/>
  <c r="I21" i="2" s="1"/>
  <c r="G20" i="2"/>
  <c r="G21" i="2" s="1"/>
  <c r="F20" i="2"/>
  <c r="D20" i="2"/>
  <c r="D21" i="2" s="1"/>
  <c r="O11" i="2"/>
  <c r="I11" i="2"/>
  <c r="F11" i="2"/>
  <c r="P10" i="2"/>
  <c r="P11" i="2" s="1"/>
  <c r="O10" i="2"/>
  <c r="M10" i="2"/>
  <c r="M11" i="2" s="1"/>
  <c r="L10" i="2"/>
  <c r="L11" i="2" s="1"/>
  <c r="J10" i="2"/>
  <c r="J11" i="2" s="1"/>
  <c r="I10" i="2"/>
  <c r="G10" i="2"/>
  <c r="G11" i="2" s="1"/>
  <c r="F10" i="2"/>
  <c r="D10" i="2"/>
  <c r="D11" i="2" s="1"/>
  <c r="D30" i="2" s="1"/>
  <c r="Z21" i="1" l="1"/>
  <c r="Z23" i="1" s="1"/>
  <c r="Z28" i="1" s="1"/>
  <c r="AA21" i="1"/>
  <c r="AA23" i="1" s="1"/>
  <c r="AA28" i="1" s="1"/>
  <c r="P30" i="2"/>
  <c r="F30" i="2"/>
  <c r="I30" i="2"/>
  <c r="G30" i="2"/>
  <c r="W20" i="1" l="1"/>
  <c r="W22" i="1" s="1"/>
  <c r="W27" i="1" s="1"/>
  <c r="D27" i="1"/>
  <c r="D28" i="1" s="1"/>
  <c r="D22" i="1"/>
  <c r="D23" i="1" s="1"/>
  <c r="D12" i="1"/>
  <c r="D13" i="1" s="1"/>
  <c r="D32" i="1" l="1"/>
</calcChain>
</file>

<file path=xl/sharedStrings.xml><?xml version="1.0" encoding="utf-8"?>
<sst xmlns="http://schemas.openxmlformats.org/spreadsheetml/2006/main" count="223" uniqueCount="90">
  <si>
    <t xml:space="preserve">Sr. </t>
  </si>
  <si>
    <t>Existing Heads</t>
  </si>
  <si>
    <t>Payout</t>
  </si>
  <si>
    <t>FY 2627</t>
  </si>
  <si>
    <t>No.</t>
  </si>
  <si>
    <t>%</t>
  </si>
  <si>
    <t>A</t>
  </si>
  <si>
    <t xml:space="preserve">Fixed  Components </t>
  </si>
  <si>
    <t>Basic Salary</t>
  </si>
  <si>
    <t>Monthly</t>
  </si>
  <si>
    <t>HRA</t>
  </si>
  <si>
    <t>LTA</t>
  </si>
  <si>
    <t>Special Allowance </t>
  </si>
  <si>
    <t>Total (A) (Monthly)</t>
  </si>
  <si>
    <t>Total (A) (Annually)</t>
  </si>
  <si>
    <t>B</t>
  </si>
  <si>
    <t xml:space="preserve">Reimbursement Components (Monthly) </t>
  </si>
  <si>
    <t>Fuel &amp; Vehicle (R)</t>
  </si>
  <si>
    <t>Driver Salary</t>
  </si>
  <si>
    <t>Books &amp; Periodicals</t>
  </si>
  <si>
    <t>Telephone Allowance</t>
  </si>
  <si>
    <t xml:space="preserve">Office Attire </t>
  </si>
  <si>
    <t>Business Promotion</t>
  </si>
  <si>
    <t xml:space="preserve">Meal Coupons </t>
  </si>
  <si>
    <t>Total (B) (Monthly)</t>
  </si>
  <si>
    <t>Total (B) (Annually)</t>
  </si>
  <si>
    <t>C</t>
  </si>
  <si>
    <t xml:space="preserve">Statutory Benefits </t>
  </si>
  <si>
    <t>Provident Fund</t>
  </si>
  <si>
    <t>ESIC</t>
  </si>
  <si>
    <t>-</t>
  </si>
  <si>
    <t>Total (C) (Monthly)</t>
  </si>
  <si>
    <t>Total (C) (Annually)</t>
  </si>
  <si>
    <t>D</t>
  </si>
  <si>
    <t xml:space="preserve">Performance Incentive </t>
  </si>
  <si>
    <t>Annually</t>
  </si>
  <si>
    <t>Total (D) Monthly (Cost to Company - CTC  - Fixed/ Variable)</t>
  </si>
  <si>
    <t>Total (D) Annually (Cost to Company - CTC  - Fixed/ Variable)</t>
  </si>
  <si>
    <t xml:space="preserve">Total Cost to Company - CTC (A+B+C+D) </t>
  </si>
  <si>
    <t>If PF</t>
  </si>
  <si>
    <t>If No PF</t>
  </si>
  <si>
    <t>Fixed</t>
  </si>
  <si>
    <t>Variable</t>
  </si>
  <si>
    <t>Component</t>
  </si>
  <si>
    <t>With PF</t>
  </si>
  <si>
    <t>Basic</t>
  </si>
  <si>
    <t>House Rent Allowance</t>
  </si>
  <si>
    <t>Leave Travel Allowance - Monthly</t>
  </si>
  <si>
    <t>Special Allowance</t>
  </si>
  <si>
    <t>Gross Salary (A)</t>
  </si>
  <si>
    <t>Books &amp; Periodicals (R)</t>
  </si>
  <si>
    <t>Office Attire (R)</t>
  </si>
  <si>
    <t>Driver Salary (R)</t>
  </si>
  <si>
    <t>Business Promotion (R)</t>
  </si>
  <si>
    <t>Telephone (R)</t>
  </si>
  <si>
    <t>Fuel &amp;Vehicle (R)</t>
  </si>
  <si>
    <t>Gross Salary (B)</t>
  </si>
  <si>
    <t>TOTAL GROSS</t>
  </si>
  <si>
    <t>Employer PF</t>
  </si>
  <si>
    <t>Monthly CTC</t>
  </si>
  <si>
    <t>Variable Pay</t>
  </si>
  <si>
    <t>Annual CTC</t>
  </si>
  <si>
    <t>Employee PF</t>
  </si>
  <si>
    <t>PT</t>
  </si>
  <si>
    <t>Net Salary before TDS</t>
  </si>
  <si>
    <t>Telephone Allowance (R)</t>
  </si>
  <si>
    <t>SHUBHAM AGGARWAL</t>
  </si>
  <si>
    <t>ABHIJEET YADAV</t>
  </si>
  <si>
    <t>If PF &amp; PI</t>
  </si>
  <si>
    <t>If no PF &amp; PI</t>
  </si>
  <si>
    <t xml:space="preserve">If PF </t>
  </si>
  <si>
    <t xml:space="preserve">If No PF </t>
  </si>
  <si>
    <t xml:space="preserve">if PF </t>
  </si>
  <si>
    <t xml:space="preserve">if no PF </t>
  </si>
  <si>
    <t>Director</t>
  </si>
  <si>
    <t>Employee&gt;50 Lacs</t>
  </si>
  <si>
    <t>Employee25-50 Lacs</t>
  </si>
  <si>
    <t>Employee12-25Lacs</t>
  </si>
  <si>
    <t>Employee12- 25Lacs</t>
  </si>
  <si>
    <t>Employee&lt; 12Lacs</t>
  </si>
  <si>
    <t>BHAVESH SOLANKI</t>
  </si>
  <si>
    <t>Without PF</t>
  </si>
  <si>
    <t>Meal Coupons</t>
  </si>
  <si>
    <t>SALARY CALCULATOR</t>
  </si>
  <si>
    <t>If Cpped PF</t>
  </si>
  <si>
    <t>monthly PF</t>
  </si>
  <si>
    <t>monthly Cpped PF</t>
  </si>
  <si>
    <t>monthly NOPF</t>
  </si>
  <si>
    <t>Capped PF</t>
  </si>
  <si>
    <t>No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</si>
</sst>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FFFFFF"/>
      <name val="Trebuchet MS"/>
      <family val="2"/>
    </font>
    <font>
      <b/>
      <sz val="8"/>
      <color theme="1"/>
      <name val="Trebuchet MS"/>
      <family val="2"/>
    </font>
    <font>
      <b/>
      <sz val="8"/>
      <name val="Trebuchet MS"/>
      <family val="2"/>
    </font>
    <font>
      <sz val="8"/>
      <color theme="1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0" fontId="4" fillId="2" borderId="1" xfId="2" quotePrefix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0" fontId="4" fillId="2" borderId="3" xfId="2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0" fontId="7" fillId="3" borderId="5" xfId="2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10" fontId="0" fillId="0" borderId="5" xfId="2" applyNumberFormat="1" applyFont="1" applyBorder="1"/>
    <xf numFmtId="0" fontId="9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10" fontId="4" fillId="5" borderId="5" xfId="2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0" fontId="4" fillId="6" borderId="5" xfId="2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10" fontId="6" fillId="3" borderId="5" xfId="2" applyNumberFormat="1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5" xfId="0" applyBorder="1"/>
    <xf numFmtId="164" fontId="0" fillId="0" borderId="0" xfId="1" applyNumberFormat="1" applyFont="1"/>
    <xf numFmtId="164" fontId="3" fillId="0" borderId="0" xfId="1" applyNumberFormat="1" applyFont="1" applyAlignment="1">
      <alignment horizontal="center"/>
    </xf>
    <xf numFmtId="9" fontId="7" fillId="3" borderId="5" xfId="2" applyFont="1" applyFill="1" applyBorder="1" applyAlignment="1">
      <alignment horizontal="right" vertical="center"/>
    </xf>
    <xf numFmtId="10" fontId="2" fillId="0" borderId="5" xfId="2" applyNumberFormat="1" applyFont="1" applyBorder="1"/>
    <xf numFmtId="0" fontId="0" fillId="0" borderId="0" xfId="0" applyFill="1" applyBorder="1"/>
    <xf numFmtId="164" fontId="0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10" fontId="4" fillId="0" borderId="0" xfId="2" quotePrefix="1" applyNumberFormat="1" applyFont="1" applyFill="1" applyBorder="1" applyAlignment="1">
      <alignment horizontal="center" vertical="center"/>
    </xf>
    <xf numFmtId="10" fontId="4" fillId="0" borderId="0" xfId="2" applyNumberFormat="1" applyFont="1" applyFill="1" applyBorder="1" applyAlignment="1">
      <alignment horizontal="center" vertical="center"/>
    </xf>
    <xf numFmtId="10" fontId="7" fillId="0" borderId="0" xfId="2" applyNumberFormat="1" applyFont="1" applyFill="1" applyBorder="1" applyAlignment="1">
      <alignment horizontal="right" vertical="center"/>
    </xf>
    <xf numFmtId="10" fontId="0" fillId="0" borderId="0" xfId="2" applyNumberFormat="1" applyFont="1" applyFill="1" applyBorder="1"/>
    <xf numFmtId="10" fontId="4" fillId="0" borderId="0" xfId="2" applyNumberFormat="1" applyFont="1" applyFill="1" applyBorder="1" applyAlignment="1">
      <alignment horizontal="right" vertical="center"/>
    </xf>
    <xf numFmtId="10" fontId="6" fillId="0" borderId="0" xfId="2" applyNumberFormat="1" applyFont="1" applyFill="1" applyBorder="1" applyAlignment="1">
      <alignment vertical="center"/>
    </xf>
    <xf numFmtId="10" fontId="4" fillId="2" borderId="5" xfId="2" quotePrefix="1" applyNumberFormat="1" applyFont="1" applyFill="1" applyBorder="1" applyAlignment="1">
      <alignment horizontal="center" vertical="center"/>
    </xf>
    <xf numFmtId="10" fontId="4" fillId="2" borderId="5" xfId="2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Fill="1" applyBorder="1"/>
    <xf numFmtId="164" fontId="0" fillId="7" borderId="0" xfId="1" applyNumberFormat="1" applyFont="1" applyFill="1"/>
    <xf numFmtId="164" fontId="0" fillId="8" borderId="0" xfId="1" applyNumberFormat="1" applyFont="1" applyFill="1"/>
    <xf numFmtId="164" fontId="0" fillId="9" borderId="0" xfId="1" applyNumberFormat="1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164" fontId="14" fillId="0" borderId="5" xfId="1" applyNumberFormat="1" applyFont="1" applyBorder="1" applyAlignment="1">
      <alignment horizontal="right" vertical="center"/>
    </xf>
    <xf numFmtId="164" fontId="15" fillId="0" borderId="5" xfId="1" applyNumberFormat="1" applyFont="1" applyBorder="1" applyAlignment="1">
      <alignment horizontal="right" vertical="center"/>
    </xf>
    <xf numFmtId="164" fontId="13" fillId="0" borderId="5" xfId="1" applyNumberFormat="1" applyFont="1" applyBorder="1" applyAlignment="1">
      <alignment horizontal="right" vertical="center"/>
    </xf>
    <xf numFmtId="164" fontId="12" fillId="0" borderId="5" xfId="1" applyNumberFormat="1" applyFont="1" applyBorder="1" applyAlignment="1">
      <alignment horizontal="right" vertical="center"/>
    </xf>
    <xf numFmtId="0" fontId="10" fillId="8" borderId="0" xfId="0" applyFont="1" applyFill="1"/>
    <xf numFmtId="164" fontId="3" fillId="8" borderId="0" xfId="1" applyNumberFormat="1" applyFont="1" applyFill="1" applyAlignment="1">
      <alignment horizontal="center"/>
    </xf>
    <xf numFmtId="0" fontId="0" fillId="8" borderId="0" xfId="0" applyFill="1"/>
    <xf numFmtId="0" fontId="3" fillId="0" borderId="0" xfId="0" applyFont="1" applyAlignment="1">
      <alignment horizontal="center"/>
    </xf>
    <xf numFmtId="10" fontId="3" fillId="0" borderId="0" xfId="2" applyNumberFormat="1" applyFont="1" applyAlignment="1">
      <alignment horizontal="center"/>
    </xf>
    <xf numFmtId="0" fontId="16" fillId="10" borderId="0" xfId="0" applyFont="1" applyFill="1" applyAlignment="1">
      <alignment horizontal="center" vertical="center"/>
    </xf>
    <xf numFmtId="10" fontId="0" fillId="0" borderId="0" xfId="2" applyNumberFormat="1" applyFont="1"/>
    <xf numFmtId="0" fontId="16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10" fontId="4" fillId="2" borderId="9" xfId="2" quotePrefix="1" applyNumberFormat="1" applyFont="1" applyFill="1" applyBorder="1" applyAlignment="1">
      <alignment horizontal="center" vertical="center"/>
    </xf>
    <xf numFmtId="9" fontId="4" fillId="2" borderId="2" xfId="2" quotePrefix="1" applyFont="1" applyFill="1" applyBorder="1" applyAlignment="1">
      <alignment horizontal="center" vertical="center"/>
    </xf>
    <xf numFmtId="9" fontId="4" fillId="2" borderId="1" xfId="2" quotePrefix="1" applyFont="1" applyFill="1" applyBorder="1" applyAlignment="1">
      <alignment horizontal="center" vertical="center"/>
    </xf>
    <xf numFmtId="10" fontId="4" fillId="2" borderId="10" xfId="2" applyNumberFormat="1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9" fontId="4" fillId="2" borderId="3" xfId="2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10" fontId="7" fillId="3" borderId="6" xfId="2" applyNumberFormat="1" applyFont="1" applyFill="1" applyBorder="1" applyAlignment="1">
      <alignment horizontal="right" vertical="center"/>
    </xf>
    <xf numFmtId="9" fontId="7" fillId="3" borderId="8" xfId="2" applyFont="1" applyFill="1" applyBorder="1" applyAlignment="1">
      <alignment horizontal="right" vertical="center"/>
    </xf>
    <xf numFmtId="10" fontId="0" fillId="0" borderId="6" xfId="2" applyNumberFormat="1" applyFont="1" applyBorder="1"/>
    <xf numFmtId="10" fontId="0" fillId="0" borderId="8" xfId="2" applyNumberFormat="1" applyFont="1" applyBorder="1"/>
    <xf numFmtId="0" fontId="1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10" fontId="4" fillId="5" borderId="6" xfId="2" applyNumberFormat="1" applyFont="1" applyFill="1" applyBorder="1" applyAlignment="1">
      <alignment horizontal="right" vertical="center"/>
    </xf>
    <xf numFmtId="10" fontId="4" fillId="5" borderId="8" xfId="2" applyNumberFormat="1" applyFont="1" applyFill="1" applyBorder="1" applyAlignment="1">
      <alignment horizontal="right" vertical="center"/>
    </xf>
    <xf numFmtId="10" fontId="4" fillId="6" borderId="6" xfId="2" applyNumberFormat="1" applyFont="1" applyFill="1" applyBorder="1" applyAlignment="1">
      <alignment horizontal="right" vertical="center"/>
    </xf>
    <xf numFmtId="10" fontId="4" fillId="6" borderId="8" xfId="2" applyNumberFormat="1" applyFont="1" applyFill="1" applyBorder="1" applyAlignment="1">
      <alignment horizontal="right" vertical="center"/>
    </xf>
    <xf numFmtId="10" fontId="7" fillId="3" borderId="8" xfId="2" applyNumberFormat="1" applyFont="1" applyFill="1" applyBorder="1" applyAlignment="1">
      <alignment horizontal="right" vertical="center"/>
    </xf>
    <xf numFmtId="10" fontId="2" fillId="0" borderId="6" xfId="2" applyNumberFormat="1" applyFont="1" applyBorder="1"/>
    <xf numFmtId="10" fontId="2" fillId="0" borderId="8" xfId="2" applyNumberFormat="1" applyFont="1" applyBorder="1"/>
    <xf numFmtId="10" fontId="6" fillId="3" borderId="6" xfId="2" applyNumberFormat="1" applyFont="1" applyFill="1" applyBorder="1" applyAlignment="1">
      <alignment vertical="center"/>
    </xf>
    <xf numFmtId="10" fontId="6" fillId="3" borderId="8" xfId="2" applyNumberFormat="1" applyFont="1" applyFill="1" applyBorder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vertical="center"/>
    </xf>
    <xf numFmtId="0" fontId="0" fillId="10" borderId="0" xfId="0" applyFill="1"/>
    <xf numFmtId="0" fontId="10" fillId="0" borderId="0" xfId="0" applyFont="1" applyFill="1" applyBorder="1" applyAlignment="1">
      <alignment horizontal="center"/>
    </xf>
    <xf numFmtId="164" fontId="0" fillId="0" borderId="0" xfId="1" applyNumberFormat="1" applyFont="1" applyFill="1"/>
    <xf numFmtId="164" fontId="3" fillId="0" borderId="0" xfId="1" applyNumberFormat="1" applyFont="1" applyFill="1" applyAlignment="1">
      <alignment horizontal="center"/>
    </xf>
    <xf numFmtId="0" fontId="0" fillId="0" borderId="0" xfId="0" applyFill="1"/>
    <xf numFmtId="0" fontId="13" fillId="0" borderId="1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3" fillId="0" borderId="5" xfId="0" applyFont="1" applyBorder="1"/>
    <xf numFmtId="0" fontId="10" fillId="0" borderId="0" xfId="0" applyFont="1" applyFill="1"/>
    <xf numFmtId="0" fontId="0" fillId="0" borderId="5" xfId="0" applyFill="1" applyBorder="1"/>
    <xf numFmtId="0" fontId="13" fillId="0" borderId="5" xfId="0" applyFont="1" applyFill="1" applyBorder="1" applyAlignment="1">
      <alignment vertical="center"/>
    </xf>
    <xf numFmtId="3" fontId="13" fillId="0" borderId="5" xfId="0" applyNumberFormat="1" applyFont="1" applyFill="1" applyBorder="1" applyAlignment="1">
      <alignment horizontal="right" vertical="center"/>
    </xf>
    <xf numFmtId="3" fontId="12" fillId="0" borderId="5" xfId="0" applyNumberFormat="1" applyFont="1" applyFill="1" applyBorder="1" applyAlignment="1">
      <alignment horizontal="right" vertical="center"/>
    </xf>
    <xf numFmtId="164" fontId="0" fillId="0" borderId="5" xfId="0" applyNumberFormat="1" applyFill="1" applyBorder="1"/>
    <xf numFmtId="0" fontId="11" fillId="0" borderId="5" xfId="0" applyFont="1" applyFill="1" applyBorder="1" applyAlignment="1">
      <alignment vertical="center"/>
    </xf>
    <xf numFmtId="0" fontId="13" fillId="0" borderId="5" xfId="0" applyFont="1" applyFill="1" applyBorder="1" applyAlignment="1">
      <alignment horizontal="right" vertical="center"/>
    </xf>
    <xf numFmtId="1" fontId="0" fillId="0" borderId="0" xfId="0" applyNumberFormat="1" applyFill="1"/>
    <xf numFmtId="164" fontId="0" fillId="0" borderId="5" xfId="1" applyNumberFormat="1" applyFont="1" applyFill="1" applyBorder="1"/>
    <xf numFmtId="164" fontId="13" fillId="0" borderId="5" xfId="0" applyNumberFormat="1" applyFont="1" applyFill="1" applyBorder="1" applyAlignment="1">
      <alignment horizontal="right" vertical="center"/>
    </xf>
    <xf numFmtId="0" fontId="10" fillId="7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2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3741-E2AB-45D6-9053-3F02E97ECFDB}">
  <dimension ref="A1:AA36"/>
  <sheetViews>
    <sheetView tabSelected="1" workbookViewId="0">
      <pane xSplit="16" ySplit="4" topLeftCell="Q5" activePane="bottomRight" state="frozen"/>
      <selection pane="topRight" activeCell="Q1" sqref="Q1"/>
      <selection pane="bottomLeft" activeCell="A5" sqref="A5"/>
      <selection pane="bottomRight" activeCell="K37" sqref="K37"/>
    </sheetView>
  </sheetViews>
  <sheetFormatPr defaultRowHeight="14.4" x14ac:dyDescent="0.3"/>
  <cols>
    <col min="5" max="5" width="2.44140625" style="31" customWidth="1"/>
    <col min="6" max="6" width="8.88671875" style="92"/>
    <col min="7" max="7" width="9.77734375" style="92" customWidth="1"/>
    <col min="8" max="8" width="11.109375" style="92" bestFit="1" customWidth="1"/>
    <col min="9" max="9" width="7.88671875" style="92" bestFit="1" customWidth="1"/>
    <col min="10" max="10" width="9.77734375" style="92" bestFit="1" customWidth="1"/>
    <col min="11" max="11" width="11.109375" style="92" bestFit="1" customWidth="1"/>
    <col min="12" max="12" width="9.77734375" style="92" bestFit="1" customWidth="1"/>
    <col min="13" max="13" width="11.33203125" style="92" bestFit="1" customWidth="1"/>
    <col min="14" max="14" width="17" style="92" bestFit="1" customWidth="1"/>
    <col min="15" max="15" width="13.77734375" style="92" bestFit="1" customWidth="1"/>
    <col min="16" max="16" width="3.109375" style="57" customWidth="1"/>
    <col min="17" max="17" width="28.88671875" style="92" bestFit="1" customWidth="1"/>
    <col min="18" max="18" width="8.88671875" style="92" hidden="1" customWidth="1"/>
    <col min="19" max="19" width="9.88671875" style="92" bestFit="1" customWidth="1"/>
    <col min="20" max="20" width="8.88671875" style="92" hidden="1" customWidth="1"/>
    <col min="21" max="21" width="3" style="92" customWidth="1"/>
    <col min="22" max="22" width="28.88671875" bestFit="1" customWidth="1"/>
    <col min="23" max="23" width="11.33203125" bestFit="1" customWidth="1"/>
    <col min="24" max="24" width="2.44140625" customWidth="1"/>
    <col min="25" max="25" width="28.88671875" bestFit="1" customWidth="1"/>
    <col min="27" max="27" width="10.33203125" hidden="1" customWidth="1"/>
  </cols>
  <sheetData>
    <row r="1" spans="1:27" s="42" customFormat="1" ht="15.6" x14ac:dyDescent="0.3">
      <c r="E1" s="43"/>
      <c r="F1" s="97"/>
      <c r="G1" s="108" t="s">
        <v>83</v>
      </c>
      <c r="H1" s="108"/>
      <c r="I1" s="108"/>
      <c r="J1" s="108"/>
      <c r="K1" s="89"/>
      <c r="L1" s="89"/>
      <c r="M1" s="89"/>
      <c r="N1" s="89"/>
      <c r="O1" s="89"/>
      <c r="P1" s="55"/>
      <c r="Q1" s="97"/>
      <c r="R1" s="97"/>
      <c r="S1" s="97"/>
      <c r="T1" s="97"/>
      <c r="U1" s="97"/>
    </row>
    <row r="2" spans="1:27" s="27" customFormat="1" x14ac:dyDescent="0.3">
      <c r="E2" s="32"/>
      <c r="F2" s="90"/>
      <c r="G2" s="44">
        <v>3000000</v>
      </c>
      <c r="H2" s="90"/>
      <c r="I2" s="90"/>
      <c r="J2" s="90"/>
      <c r="K2" s="90"/>
      <c r="L2" s="90"/>
      <c r="M2" s="90"/>
      <c r="N2" s="90"/>
      <c r="O2" s="90"/>
      <c r="P2" s="45"/>
      <c r="Q2" s="90"/>
      <c r="R2" s="90"/>
      <c r="S2" s="90"/>
      <c r="T2" s="90"/>
      <c r="U2" s="90"/>
    </row>
    <row r="3" spans="1:27" s="27" customFormat="1" x14ac:dyDescent="0.3">
      <c r="B3" s="45" t="s">
        <v>41</v>
      </c>
      <c r="C3" s="46" t="s">
        <v>42</v>
      </c>
      <c r="E3" s="32"/>
      <c r="F3" s="90"/>
      <c r="G3" s="45">
        <v>2700000</v>
      </c>
      <c r="H3" s="90"/>
      <c r="I3" s="90"/>
      <c r="J3" s="46">
        <v>300000</v>
      </c>
      <c r="K3" s="90"/>
      <c r="L3" s="90"/>
      <c r="M3" s="90"/>
      <c r="N3" s="90"/>
      <c r="O3" s="90"/>
      <c r="P3" s="45"/>
      <c r="Q3" s="90"/>
      <c r="R3" s="90"/>
      <c r="S3" s="90"/>
      <c r="T3" s="90"/>
      <c r="U3" s="90"/>
    </row>
    <row r="4" spans="1:27" s="28" customFormat="1" x14ac:dyDescent="0.3">
      <c r="E4" s="33"/>
      <c r="F4" s="91"/>
      <c r="G4" s="91" t="s">
        <v>39</v>
      </c>
      <c r="H4" s="91" t="s">
        <v>84</v>
      </c>
      <c r="I4" s="91" t="s">
        <v>40</v>
      </c>
      <c r="J4" s="91" t="s">
        <v>39</v>
      </c>
      <c r="K4" s="91" t="s">
        <v>84</v>
      </c>
      <c r="L4" s="91" t="s">
        <v>40</v>
      </c>
      <c r="M4" s="91" t="s">
        <v>85</v>
      </c>
      <c r="N4" s="91" t="s">
        <v>86</v>
      </c>
      <c r="O4" s="91" t="s">
        <v>87</v>
      </c>
      <c r="P4" s="56"/>
      <c r="Q4" s="91"/>
      <c r="R4" s="91"/>
      <c r="S4" s="91"/>
      <c r="T4" s="91"/>
      <c r="U4" s="91"/>
    </row>
    <row r="5" spans="1:27" x14ac:dyDescent="0.3">
      <c r="A5" s="1" t="s">
        <v>0</v>
      </c>
      <c r="B5" s="109" t="s">
        <v>1</v>
      </c>
      <c r="C5" s="111" t="s">
        <v>2</v>
      </c>
      <c r="D5" s="64" t="s">
        <v>3</v>
      </c>
      <c r="E5" s="34"/>
      <c r="G5" s="40" t="s">
        <v>3</v>
      </c>
      <c r="H5" s="40"/>
      <c r="I5" s="40" t="s">
        <v>3</v>
      </c>
      <c r="J5" s="98"/>
      <c r="K5" s="98"/>
      <c r="L5" s="98"/>
      <c r="M5" s="32"/>
      <c r="N5" s="32"/>
      <c r="O5" s="32"/>
      <c r="Q5" s="113" t="s">
        <v>66</v>
      </c>
      <c r="R5" s="114"/>
      <c r="S5" s="114"/>
      <c r="T5" s="114"/>
      <c r="V5" s="118" t="s">
        <v>67</v>
      </c>
      <c r="W5" s="118"/>
      <c r="Y5" s="115" t="s">
        <v>80</v>
      </c>
      <c r="Z5" s="116"/>
      <c r="AA5" s="117"/>
    </row>
    <row r="6" spans="1:27" x14ac:dyDescent="0.3">
      <c r="A6" s="3" t="s">
        <v>4</v>
      </c>
      <c r="B6" s="110"/>
      <c r="C6" s="112"/>
      <c r="D6" s="67" t="s">
        <v>5</v>
      </c>
      <c r="E6" s="35"/>
      <c r="G6" s="41" t="s">
        <v>5</v>
      </c>
      <c r="H6" s="41"/>
      <c r="I6" s="41" t="s">
        <v>5</v>
      </c>
      <c r="J6" s="98"/>
      <c r="K6" s="98"/>
      <c r="L6" s="98"/>
      <c r="M6" s="32"/>
      <c r="N6" s="32"/>
      <c r="O6" s="32"/>
    </row>
    <row r="7" spans="1:27" x14ac:dyDescent="0.3">
      <c r="A7" s="5" t="s">
        <v>6</v>
      </c>
      <c r="B7" s="119" t="s">
        <v>7</v>
      </c>
      <c r="C7" s="119"/>
      <c r="D7" s="71"/>
      <c r="E7" s="36"/>
      <c r="G7" s="6"/>
      <c r="H7" s="6"/>
      <c r="I7" s="6"/>
      <c r="J7" s="98"/>
      <c r="K7" s="98"/>
      <c r="L7" s="98"/>
      <c r="M7" s="32"/>
      <c r="N7" s="32"/>
      <c r="O7" s="32"/>
      <c r="Q7" s="95" t="s">
        <v>43</v>
      </c>
      <c r="R7" s="95" t="s">
        <v>44</v>
      </c>
      <c r="S7" s="95" t="s">
        <v>88</v>
      </c>
      <c r="T7" s="95" t="s">
        <v>89</v>
      </c>
      <c r="V7" s="49" t="s">
        <v>43</v>
      </c>
      <c r="W7" s="49" t="s">
        <v>44</v>
      </c>
      <c r="Y7" s="49" t="s">
        <v>43</v>
      </c>
      <c r="Z7" s="94" t="s">
        <v>44</v>
      </c>
      <c r="AA7" s="95" t="s">
        <v>81</v>
      </c>
    </row>
    <row r="8" spans="1:27" x14ac:dyDescent="0.3">
      <c r="A8" s="7">
        <v>1</v>
      </c>
      <c r="B8" s="8" t="s">
        <v>8</v>
      </c>
      <c r="C8" s="7" t="s">
        <v>9</v>
      </c>
      <c r="D8" s="73">
        <v>0.51</v>
      </c>
      <c r="E8" s="37"/>
      <c r="G8" s="9">
        <v>0.51</v>
      </c>
      <c r="H8" s="9">
        <v>0.51</v>
      </c>
      <c r="I8" s="9">
        <v>0.51</v>
      </c>
      <c r="J8" s="106">
        <f>G3*G8</f>
        <v>1377000</v>
      </c>
      <c r="K8" s="106">
        <f>G3*G8</f>
        <v>1377000</v>
      </c>
      <c r="L8" s="106">
        <f>G3*I8</f>
        <v>1377000</v>
      </c>
      <c r="M8" s="32">
        <f>J8/12</f>
        <v>114750</v>
      </c>
      <c r="N8" s="32">
        <f>K8/12</f>
        <v>114750</v>
      </c>
      <c r="O8" s="32">
        <f>L8/12</f>
        <v>114750</v>
      </c>
      <c r="Q8" s="99" t="s">
        <v>45</v>
      </c>
      <c r="R8" s="100">
        <f>M8</f>
        <v>114750</v>
      </c>
      <c r="S8" s="100">
        <f t="shared" ref="S8:T8" si="0">N8</f>
        <v>114750</v>
      </c>
      <c r="T8" s="100">
        <f t="shared" si="0"/>
        <v>114750</v>
      </c>
      <c r="V8" s="50" t="s">
        <v>45</v>
      </c>
      <c r="W8" s="51">
        <v>30600</v>
      </c>
      <c r="Y8" s="50" t="s">
        <v>45</v>
      </c>
      <c r="Z8" s="26">
        <v>63750</v>
      </c>
      <c r="AA8" s="26">
        <v>63750</v>
      </c>
    </row>
    <row r="9" spans="1:27" x14ac:dyDescent="0.3">
      <c r="A9" s="7">
        <v>2</v>
      </c>
      <c r="B9" s="8" t="s">
        <v>10</v>
      </c>
      <c r="C9" s="7" t="s">
        <v>9</v>
      </c>
      <c r="D9" s="73">
        <v>0.21</v>
      </c>
      <c r="E9" s="37"/>
      <c r="G9" s="9">
        <v>0.2</v>
      </c>
      <c r="H9" s="9">
        <v>0.2</v>
      </c>
      <c r="I9" s="9">
        <v>0.22</v>
      </c>
      <c r="J9" s="106">
        <f>G3*G9</f>
        <v>540000</v>
      </c>
      <c r="K9" s="106">
        <f>G3*G9</f>
        <v>540000</v>
      </c>
      <c r="L9" s="106">
        <f>G3*I9</f>
        <v>594000</v>
      </c>
      <c r="M9" s="32">
        <f>J9/12</f>
        <v>45000</v>
      </c>
      <c r="N9" s="32">
        <f t="shared" ref="N9:O32" si="1">K9/12</f>
        <v>45000</v>
      </c>
      <c r="O9" s="32">
        <f t="shared" si="1"/>
        <v>49500</v>
      </c>
      <c r="Q9" s="99" t="s">
        <v>46</v>
      </c>
      <c r="R9" s="100">
        <f t="shared" ref="R9:R12" si="2">M9</f>
        <v>45000</v>
      </c>
      <c r="S9" s="100">
        <f t="shared" ref="S9:S12" si="3">N9</f>
        <v>45000</v>
      </c>
      <c r="T9" s="100">
        <f t="shared" ref="T9:T12" si="4">O9</f>
        <v>49500</v>
      </c>
      <c r="V9" s="50" t="s">
        <v>46</v>
      </c>
      <c r="W9" s="51">
        <v>15000</v>
      </c>
      <c r="Y9" s="50" t="s">
        <v>46</v>
      </c>
      <c r="Z9" s="26">
        <v>25000</v>
      </c>
      <c r="AA9" s="26">
        <v>27500</v>
      </c>
    </row>
    <row r="10" spans="1:27" x14ac:dyDescent="0.3">
      <c r="A10" s="7">
        <v>3</v>
      </c>
      <c r="B10" s="8" t="s">
        <v>11</v>
      </c>
      <c r="C10" s="7" t="s">
        <v>9</v>
      </c>
      <c r="D10" s="73">
        <v>0.03</v>
      </c>
      <c r="E10" s="37"/>
      <c r="G10" s="30">
        <v>5.62E-2</v>
      </c>
      <c r="H10" s="30">
        <v>0.1041</v>
      </c>
      <c r="I10" s="30">
        <v>5.7599999999999998E-2</v>
      </c>
      <c r="J10" s="106">
        <f>G3*G10</f>
        <v>151740</v>
      </c>
      <c r="K10" s="106">
        <f>G3*H10</f>
        <v>281070</v>
      </c>
      <c r="L10" s="106">
        <f>G3*I10</f>
        <v>155520</v>
      </c>
      <c r="M10" s="32">
        <f>J10/12</f>
        <v>12645</v>
      </c>
      <c r="N10" s="32">
        <f t="shared" si="1"/>
        <v>23422.5</v>
      </c>
      <c r="O10" s="32">
        <f t="shared" si="1"/>
        <v>12960</v>
      </c>
      <c r="Q10" s="99" t="s">
        <v>47</v>
      </c>
      <c r="R10" s="100">
        <f t="shared" si="2"/>
        <v>12645</v>
      </c>
      <c r="S10" s="100">
        <f t="shared" si="3"/>
        <v>23422.5</v>
      </c>
      <c r="T10" s="100">
        <f t="shared" si="4"/>
        <v>12960</v>
      </c>
      <c r="V10" s="50" t="s">
        <v>47</v>
      </c>
      <c r="W10" s="51">
        <v>4200</v>
      </c>
      <c r="Y10" s="50" t="s">
        <v>47</v>
      </c>
      <c r="Z10" s="26">
        <v>4062.5</v>
      </c>
      <c r="AA10" s="26">
        <v>5000</v>
      </c>
    </row>
    <row r="11" spans="1:27" x14ac:dyDescent="0.3">
      <c r="A11" s="7">
        <v>4</v>
      </c>
      <c r="B11" s="10" t="s">
        <v>12</v>
      </c>
      <c r="C11" s="11" t="s">
        <v>9</v>
      </c>
      <c r="D11" s="73">
        <v>0.18</v>
      </c>
      <c r="E11" s="37"/>
      <c r="G11" s="9">
        <v>0.1</v>
      </c>
      <c r="H11" s="9">
        <v>0.1</v>
      </c>
      <c r="I11" s="9">
        <v>0.13</v>
      </c>
      <c r="J11" s="106">
        <f>G3*G11</f>
        <v>270000</v>
      </c>
      <c r="K11" s="106">
        <f>G3*G11</f>
        <v>270000</v>
      </c>
      <c r="L11" s="106">
        <f>G3*I11</f>
        <v>351000</v>
      </c>
      <c r="M11" s="32">
        <f>J11/12</f>
        <v>22500</v>
      </c>
      <c r="N11" s="32">
        <f t="shared" si="1"/>
        <v>22500</v>
      </c>
      <c r="O11" s="32">
        <f t="shared" si="1"/>
        <v>29250</v>
      </c>
      <c r="Q11" s="99" t="s">
        <v>48</v>
      </c>
      <c r="R11" s="100">
        <f t="shared" si="2"/>
        <v>22500</v>
      </c>
      <c r="S11" s="100">
        <f t="shared" si="3"/>
        <v>22500</v>
      </c>
      <c r="T11" s="100">
        <f t="shared" si="4"/>
        <v>29250</v>
      </c>
      <c r="V11" s="50" t="s">
        <v>48</v>
      </c>
      <c r="W11" s="51">
        <v>10200</v>
      </c>
      <c r="Y11" s="50" t="s">
        <v>48</v>
      </c>
      <c r="Z11" s="26">
        <v>12500</v>
      </c>
      <c r="AA11" s="26">
        <v>16250</v>
      </c>
    </row>
    <row r="12" spans="1:27" x14ac:dyDescent="0.3">
      <c r="A12" s="12"/>
      <c r="B12" s="13" t="s">
        <v>13</v>
      </c>
      <c r="C12" s="12"/>
      <c r="D12" s="77">
        <f>SUM(D8:D11)</f>
        <v>0.92999999999999994</v>
      </c>
      <c r="E12" s="38"/>
      <c r="G12" s="14">
        <f t="shared" ref="G12:I12" si="5">SUM(G8:G11)</f>
        <v>0.86619999999999997</v>
      </c>
      <c r="H12" s="14">
        <f t="shared" si="5"/>
        <v>0.91409999999999991</v>
      </c>
      <c r="I12" s="14">
        <f t="shared" si="5"/>
        <v>0.91759999999999997</v>
      </c>
      <c r="J12" s="106">
        <f t="shared" ref="J12:L12" si="6">SUM(J8:J11)</f>
        <v>2338740</v>
      </c>
      <c r="K12" s="106">
        <f t="shared" si="6"/>
        <v>2468070</v>
      </c>
      <c r="L12" s="106">
        <f t="shared" si="6"/>
        <v>2477520</v>
      </c>
      <c r="M12" s="32">
        <f>J12/12</f>
        <v>194895</v>
      </c>
      <c r="N12" s="32">
        <f t="shared" si="1"/>
        <v>205672.5</v>
      </c>
      <c r="O12" s="32">
        <f>L12/12</f>
        <v>206460</v>
      </c>
      <c r="Q12" s="99" t="s">
        <v>49</v>
      </c>
      <c r="R12" s="100">
        <f t="shared" si="2"/>
        <v>194895</v>
      </c>
      <c r="S12" s="100">
        <f t="shared" si="3"/>
        <v>205672.5</v>
      </c>
      <c r="T12" s="100">
        <f t="shared" si="4"/>
        <v>206460</v>
      </c>
      <c r="V12" s="50" t="s">
        <v>49</v>
      </c>
      <c r="W12" s="52">
        <v>60000</v>
      </c>
      <c r="Y12" s="49" t="s">
        <v>49</v>
      </c>
      <c r="Z12" s="96">
        <f>SUM(Z8:Z11)</f>
        <v>105312.5</v>
      </c>
      <c r="AA12" s="96">
        <f>SUM(AA8:AA11)</f>
        <v>112500</v>
      </c>
    </row>
    <row r="13" spans="1:27" x14ac:dyDescent="0.3">
      <c r="A13" s="15"/>
      <c r="B13" s="16" t="s">
        <v>14</v>
      </c>
      <c r="C13" s="15"/>
      <c r="D13" s="79">
        <f>D12</f>
        <v>0.92999999999999994</v>
      </c>
      <c r="E13" s="38"/>
      <c r="G13" s="17">
        <f>G12</f>
        <v>0.86619999999999997</v>
      </c>
      <c r="H13" s="17">
        <f>H12</f>
        <v>0.91409999999999991</v>
      </c>
      <c r="I13" s="17">
        <f>I12</f>
        <v>0.91759999999999997</v>
      </c>
      <c r="J13" s="106">
        <f>G3*G13</f>
        <v>2338740</v>
      </c>
      <c r="K13" s="106">
        <f>G3*H13</f>
        <v>2468069.9999999995</v>
      </c>
      <c r="L13" s="106">
        <f>G3*I13</f>
        <v>2477520</v>
      </c>
      <c r="M13" s="32">
        <f>J13/12</f>
        <v>194895</v>
      </c>
      <c r="N13" s="32">
        <f t="shared" si="1"/>
        <v>205672.49999999997</v>
      </c>
      <c r="O13" s="32">
        <f t="shared" si="1"/>
        <v>206460</v>
      </c>
      <c r="Q13" s="103" t="s">
        <v>17</v>
      </c>
      <c r="R13" s="100">
        <f t="shared" ref="R13:R19" si="7">M15</f>
        <v>0</v>
      </c>
      <c r="S13" s="100">
        <f t="shared" ref="S13:T13" si="8">N15</f>
        <v>0</v>
      </c>
      <c r="T13" s="100">
        <f t="shared" si="8"/>
        <v>0</v>
      </c>
      <c r="V13" s="50" t="s">
        <v>50</v>
      </c>
      <c r="W13" s="53">
        <v>0</v>
      </c>
      <c r="Y13" s="50" t="s">
        <v>50</v>
      </c>
      <c r="Z13" s="26">
        <v>1175</v>
      </c>
      <c r="AA13" s="26">
        <v>1250</v>
      </c>
    </row>
    <row r="14" spans="1:27" x14ac:dyDescent="0.3">
      <c r="A14" s="18" t="s">
        <v>15</v>
      </c>
      <c r="B14" s="119" t="s">
        <v>16</v>
      </c>
      <c r="C14" s="119"/>
      <c r="D14" s="71"/>
      <c r="E14" s="36"/>
      <c r="G14" s="6"/>
      <c r="H14" s="6"/>
      <c r="I14" s="6"/>
      <c r="J14" s="106"/>
      <c r="K14" s="106"/>
      <c r="L14" s="106"/>
      <c r="M14" s="32"/>
      <c r="N14" s="32">
        <f t="shared" si="1"/>
        <v>0</v>
      </c>
      <c r="O14" s="32"/>
      <c r="Q14" s="103" t="s">
        <v>52</v>
      </c>
      <c r="R14" s="100">
        <f t="shared" si="7"/>
        <v>0</v>
      </c>
      <c r="S14" s="100">
        <f t="shared" ref="S14:T14" si="9">N16</f>
        <v>0</v>
      </c>
      <c r="T14" s="100">
        <f t="shared" si="9"/>
        <v>0</v>
      </c>
      <c r="V14" s="50" t="s">
        <v>51</v>
      </c>
      <c r="W14" s="53">
        <v>0</v>
      </c>
      <c r="Y14" s="50" t="s">
        <v>51</v>
      </c>
      <c r="Z14" s="26">
        <v>3750</v>
      </c>
      <c r="AA14" s="26">
        <v>3750</v>
      </c>
    </row>
    <row r="15" spans="1:27" x14ac:dyDescent="0.3">
      <c r="A15" s="7">
        <v>5</v>
      </c>
      <c r="B15" s="10" t="s">
        <v>17</v>
      </c>
      <c r="C15" s="11" t="s">
        <v>9</v>
      </c>
      <c r="D15" s="73">
        <v>0</v>
      </c>
      <c r="E15" s="37"/>
      <c r="G15" s="9">
        <v>0</v>
      </c>
      <c r="H15" s="9">
        <v>0</v>
      </c>
      <c r="I15" s="9">
        <v>0</v>
      </c>
      <c r="J15" s="106">
        <f>G3*G15</f>
        <v>0</v>
      </c>
      <c r="K15" s="106">
        <f>G3*G15</f>
        <v>0</v>
      </c>
      <c r="L15" s="106">
        <f>G3*I15</f>
        <v>0</v>
      </c>
      <c r="M15" s="32">
        <f>J15/12</f>
        <v>0</v>
      </c>
      <c r="N15" s="32">
        <f t="shared" si="1"/>
        <v>0</v>
      </c>
      <c r="O15" s="32">
        <f t="shared" si="1"/>
        <v>0</v>
      </c>
      <c r="Q15" s="103" t="s">
        <v>50</v>
      </c>
      <c r="R15" s="107">
        <f t="shared" si="7"/>
        <v>1935</v>
      </c>
      <c r="S15" s="107">
        <f t="shared" ref="S15:T15" si="10">N17</f>
        <v>1935</v>
      </c>
      <c r="T15" s="107">
        <f t="shared" si="10"/>
        <v>2205</v>
      </c>
      <c r="V15" s="50" t="s">
        <v>52</v>
      </c>
      <c r="W15" s="53">
        <v>0</v>
      </c>
      <c r="Y15" s="50" t="s">
        <v>52</v>
      </c>
      <c r="Z15" s="26">
        <v>0</v>
      </c>
      <c r="AA15" s="26">
        <v>0</v>
      </c>
    </row>
    <row r="16" spans="1:27" x14ac:dyDescent="0.3">
      <c r="A16" s="7">
        <v>6</v>
      </c>
      <c r="B16" s="10" t="s">
        <v>18</v>
      </c>
      <c r="C16" s="11" t="s">
        <v>9</v>
      </c>
      <c r="D16" s="73">
        <v>0</v>
      </c>
      <c r="E16" s="37"/>
      <c r="G16" s="9">
        <v>0</v>
      </c>
      <c r="H16" s="9">
        <v>0</v>
      </c>
      <c r="I16" s="9">
        <v>0</v>
      </c>
      <c r="J16" s="106">
        <f>G3*G16</f>
        <v>0</v>
      </c>
      <c r="K16" s="106">
        <f>G3*G16</f>
        <v>0</v>
      </c>
      <c r="L16" s="106">
        <f>G3*I16</f>
        <v>0</v>
      </c>
      <c r="M16" s="32">
        <f>J16/12</f>
        <v>0</v>
      </c>
      <c r="N16" s="32">
        <f t="shared" si="1"/>
        <v>0</v>
      </c>
      <c r="O16" s="32">
        <f t="shared" si="1"/>
        <v>0</v>
      </c>
      <c r="Q16" s="103" t="s">
        <v>65</v>
      </c>
      <c r="R16" s="100">
        <f t="shared" si="7"/>
        <v>5062.5</v>
      </c>
      <c r="S16" s="100">
        <f t="shared" ref="S16:T16" si="11">N18</f>
        <v>5062.5</v>
      </c>
      <c r="T16" s="100">
        <f t="shared" si="11"/>
        <v>5625</v>
      </c>
      <c r="V16" s="50" t="s">
        <v>53</v>
      </c>
      <c r="W16" s="53">
        <v>0</v>
      </c>
      <c r="Y16" s="50" t="s">
        <v>53</v>
      </c>
      <c r="Z16" s="26">
        <v>0</v>
      </c>
      <c r="AA16" s="26">
        <v>0</v>
      </c>
    </row>
    <row r="17" spans="1:27" x14ac:dyDescent="0.3">
      <c r="A17" s="7">
        <v>7</v>
      </c>
      <c r="B17" s="10" t="s">
        <v>19</v>
      </c>
      <c r="C17" s="11" t="s">
        <v>9</v>
      </c>
      <c r="D17" s="73">
        <v>0</v>
      </c>
      <c r="E17" s="37"/>
      <c r="G17" s="30">
        <v>8.6E-3</v>
      </c>
      <c r="H17" s="30">
        <v>8.6E-3</v>
      </c>
      <c r="I17" s="30">
        <v>9.7999999999999997E-3</v>
      </c>
      <c r="J17" s="106">
        <f>G3*G17</f>
        <v>23220</v>
      </c>
      <c r="K17" s="106">
        <f>G3*G17</f>
        <v>23220</v>
      </c>
      <c r="L17" s="106">
        <f>G3*I17</f>
        <v>26460</v>
      </c>
      <c r="M17" s="32">
        <f>J17/12</f>
        <v>1935</v>
      </c>
      <c r="N17" s="32">
        <f t="shared" si="1"/>
        <v>1935</v>
      </c>
      <c r="O17" s="32">
        <f t="shared" si="1"/>
        <v>2205</v>
      </c>
      <c r="Q17" s="103" t="s">
        <v>51</v>
      </c>
      <c r="R17" s="100">
        <f t="shared" si="7"/>
        <v>6750</v>
      </c>
      <c r="S17" s="100">
        <f t="shared" ref="S17:T17" si="12">N19</f>
        <v>6750</v>
      </c>
      <c r="T17" s="100">
        <f t="shared" si="12"/>
        <v>6750</v>
      </c>
      <c r="V17" s="50" t="s">
        <v>54</v>
      </c>
      <c r="W17" s="53">
        <v>0</v>
      </c>
      <c r="Y17" s="50" t="s">
        <v>54</v>
      </c>
      <c r="Z17" s="26">
        <v>2812.5</v>
      </c>
      <c r="AA17" s="26">
        <v>3125</v>
      </c>
    </row>
    <row r="18" spans="1:27" x14ac:dyDescent="0.3">
      <c r="A18" s="7">
        <v>8</v>
      </c>
      <c r="B18" s="10" t="s">
        <v>20</v>
      </c>
      <c r="C18" s="11" t="s">
        <v>9</v>
      </c>
      <c r="D18" s="73">
        <v>0</v>
      </c>
      <c r="E18" s="37"/>
      <c r="G18" s="9">
        <v>2.2499999999999999E-2</v>
      </c>
      <c r="H18" s="9">
        <v>2.2499999999999999E-2</v>
      </c>
      <c r="I18" s="9">
        <v>2.5000000000000001E-2</v>
      </c>
      <c r="J18" s="106">
        <f>G3*G18</f>
        <v>60750</v>
      </c>
      <c r="K18" s="106">
        <f>G3*G18</f>
        <v>60750</v>
      </c>
      <c r="L18" s="106">
        <f>G3*I18</f>
        <v>67500</v>
      </c>
      <c r="M18" s="32">
        <f>J18/12</f>
        <v>5062.5</v>
      </c>
      <c r="N18" s="32">
        <f t="shared" si="1"/>
        <v>5062.5</v>
      </c>
      <c r="O18" s="32">
        <f t="shared" si="1"/>
        <v>5625</v>
      </c>
      <c r="Q18" s="103" t="s">
        <v>53</v>
      </c>
      <c r="R18" s="107">
        <f t="shared" si="7"/>
        <v>0</v>
      </c>
      <c r="S18" s="107">
        <f t="shared" ref="S18:T18" si="13">N20</f>
        <v>0</v>
      </c>
      <c r="T18" s="107">
        <f t="shared" si="13"/>
        <v>0</v>
      </c>
      <c r="V18" s="50" t="s">
        <v>55</v>
      </c>
      <c r="W18" s="53">
        <v>0</v>
      </c>
      <c r="Y18" s="50" t="s">
        <v>55</v>
      </c>
      <c r="Z18" s="26">
        <v>0</v>
      </c>
      <c r="AA18" s="26">
        <v>0</v>
      </c>
    </row>
    <row r="19" spans="1:27" x14ac:dyDescent="0.3">
      <c r="A19" s="7">
        <v>9</v>
      </c>
      <c r="B19" s="10" t="s">
        <v>21</v>
      </c>
      <c r="C19" s="11" t="s">
        <v>9</v>
      </c>
      <c r="D19" s="73">
        <v>0</v>
      </c>
      <c r="E19" s="37"/>
      <c r="G19" s="9">
        <v>0.03</v>
      </c>
      <c r="H19" s="9">
        <v>0.03</v>
      </c>
      <c r="I19" s="9">
        <v>0.03</v>
      </c>
      <c r="J19" s="106">
        <f>G3*G19</f>
        <v>81000</v>
      </c>
      <c r="K19" s="106">
        <f>G3*G19</f>
        <v>81000</v>
      </c>
      <c r="L19" s="106">
        <f>G3*I19</f>
        <v>81000</v>
      </c>
      <c r="M19" s="32">
        <f>J19/12</f>
        <v>6750</v>
      </c>
      <c r="N19" s="32">
        <f t="shared" si="1"/>
        <v>6750</v>
      </c>
      <c r="O19" s="32">
        <f t="shared" si="1"/>
        <v>6750</v>
      </c>
      <c r="Q19" s="93" t="s">
        <v>82</v>
      </c>
      <c r="R19" s="100">
        <f t="shared" si="7"/>
        <v>4400</v>
      </c>
      <c r="S19" s="100">
        <f t="shared" ref="S19:T19" si="14">N21</f>
        <v>4400</v>
      </c>
      <c r="T19" s="100">
        <f t="shared" si="14"/>
        <v>4400</v>
      </c>
      <c r="V19" s="50" t="s">
        <v>56</v>
      </c>
      <c r="W19" s="54">
        <v>0</v>
      </c>
      <c r="Y19" s="93" t="s">
        <v>82</v>
      </c>
      <c r="Z19" s="26">
        <v>4300</v>
      </c>
      <c r="AA19" s="26">
        <v>4375.0000000000009</v>
      </c>
    </row>
    <row r="20" spans="1:27" x14ac:dyDescent="0.3">
      <c r="A20" s="7">
        <v>10</v>
      </c>
      <c r="B20" s="10" t="s">
        <v>22</v>
      </c>
      <c r="C20" s="11" t="s">
        <v>9</v>
      </c>
      <c r="D20" s="73">
        <v>7.0000000000000007E-2</v>
      </c>
      <c r="E20" s="37"/>
      <c r="G20" s="9">
        <v>0</v>
      </c>
      <c r="H20" s="9">
        <v>0</v>
      </c>
      <c r="I20" s="9">
        <v>0</v>
      </c>
      <c r="J20" s="106">
        <f>G3*G20</f>
        <v>0</v>
      </c>
      <c r="K20" s="106">
        <f>G3*G20</f>
        <v>0</v>
      </c>
      <c r="L20" s="106">
        <f>G3*I20</f>
        <v>0</v>
      </c>
      <c r="M20" s="32"/>
      <c r="N20" s="32">
        <f t="shared" si="1"/>
        <v>0</v>
      </c>
      <c r="O20" s="32"/>
      <c r="Q20" s="99" t="s">
        <v>56</v>
      </c>
      <c r="R20" s="102">
        <f>SUM(R13:R19)</f>
        <v>18147.5</v>
      </c>
      <c r="S20" s="102">
        <f t="shared" ref="S20:T20" si="15">SUM(S13:S19)</f>
        <v>18147.5</v>
      </c>
      <c r="T20" s="102">
        <f t="shared" si="15"/>
        <v>18980</v>
      </c>
      <c r="V20" s="50" t="s">
        <v>57</v>
      </c>
      <c r="W20" s="54">
        <f>W12+W19</f>
        <v>60000</v>
      </c>
      <c r="Y20" s="49" t="s">
        <v>56</v>
      </c>
      <c r="Z20" s="96">
        <f>SUM(Z13:Z19)</f>
        <v>12037.5</v>
      </c>
      <c r="AA20" s="96">
        <f>SUM(AA13:AA19)</f>
        <v>12500</v>
      </c>
    </row>
    <row r="21" spans="1:27" x14ac:dyDescent="0.3">
      <c r="A21" s="7">
        <v>11</v>
      </c>
      <c r="B21" s="10" t="s">
        <v>23</v>
      </c>
      <c r="C21" s="11" t="s">
        <v>9</v>
      </c>
      <c r="D21" s="73">
        <v>0</v>
      </c>
      <c r="E21" s="37"/>
      <c r="G21" s="30">
        <f>J21/J34</f>
        <v>1.7600000000000001E-2</v>
      </c>
      <c r="H21" s="30">
        <f>K21/K34</f>
        <v>1.7600000000000001E-2</v>
      </c>
      <c r="I21" s="30">
        <f>L21/J34</f>
        <v>1.7600000000000001E-2</v>
      </c>
      <c r="J21" s="106">
        <f>4400*12</f>
        <v>52800</v>
      </c>
      <c r="K21" s="106">
        <f>4400*12</f>
        <v>52800</v>
      </c>
      <c r="L21" s="106">
        <f>4400*12</f>
        <v>52800</v>
      </c>
      <c r="M21" s="32">
        <f>J21/12</f>
        <v>4400</v>
      </c>
      <c r="N21" s="32">
        <f t="shared" si="1"/>
        <v>4400</v>
      </c>
      <c r="O21" s="32">
        <f t="shared" si="1"/>
        <v>4400</v>
      </c>
      <c r="Q21" s="99" t="s">
        <v>57</v>
      </c>
      <c r="R21" s="101">
        <f>R12+R20</f>
        <v>213042.5</v>
      </c>
      <c r="S21" s="101">
        <f t="shared" ref="S21:T21" si="16">S12+S20</f>
        <v>223820</v>
      </c>
      <c r="T21" s="101">
        <f t="shared" si="16"/>
        <v>225440</v>
      </c>
      <c r="V21" s="50" t="s">
        <v>58</v>
      </c>
      <c r="W21" s="53">
        <v>0</v>
      </c>
      <c r="Y21" s="49" t="s">
        <v>57</v>
      </c>
      <c r="Z21" s="96">
        <f>Z12+Z20</f>
        <v>117350</v>
      </c>
      <c r="AA21" s="96">
        <f>AA12+AA20</f>
        <v>125000</v>
      </c>
    </row>
    <row r="22" spans="1:27" x14ac:dyDescent="0.3">
      <c r="A22" s="12"/>
      <c r="B22" s="13" t="s">
        <v>24</v>
      </c>
      <c r="C22" s="12"/>
      <c r="D22" s="77">
        <f>SUM(D15:D21)</f>
        <v>7.0000000000000007E-2</v>
      </c>
      <c r="E22" s="38"/>
      <c r="G22" s="14">
        <f t="shared" ref="G22:I22" si="17">SUM(G15:G21)</f>
        <v>7.8700000000000006E-2</v>
      </c>
      <c r="H22" s="14">
        <f t="shared" si="17"/>
        <v>7.8700000000000006E-2</v>
      </c>
      <c r="I22" s="14">
        <f t="shared" si="17"/>
        <v>8.2400000000000001E-2</v>
      </c>
      <c r="J22" s="106">
        <f t="shared" ref="J22:L22" si="18">SUM(J15:J21)</f>
        <v>217770</v>
      </c>
      <c r="K22" s="106">
        <f t="shared" si="18"/>
        <v>217770</v>
      </c>
      <c r="L22" s="106">
        <f t="shared" si="18"/>
        <v>227760</v>
      </c>
      <c r="M22" s="32">
        <f>J22/12</f>
        <v>18147.5</v>
      </c>
      <c r="N22" s="32">
        <f t="shared" si="1"/>
        <v>18147.5</v>
      </c>
      <c r="O22" s="32">
        <f t="shared" si="1"/>
        <v>18980</v>
      </c>
      <c r="Q22" s="99" t="s">
        <v>58</v>
      </c>
      <c r="R22" s="100">
        <f>M25</f>
        <v>13770</v>
      </c>
      <c r="S22" s="100">
        <f t="shared" ref="S22:T22" si="19">N25</f>
        <v>1800</v>
      </c>
      <c r="T22" s="100">
        <f t="shared" si="19"/>
        <v>0</v>
      </c>
      <c r="V22" s="50" t="s">
        <v>59</v>
      </c>
      <c r="W22" s="54">
        <f>W21+W20</f>
        <v>60000</v>
      </c>
      <c r="Y22" s="50" t="s">
        <v>58</v>
      </c>
      <c r="Z22" s="26">
        <v>7650</v>
      </c>
      <c r="AA22" s="26">
        <v>0</v>
      </c>
    </row>
    <row r="23" spans="1:27" x14ac:dyDescent="0.3">
      <c r="A23" s="19"/>
      <c r="B23" s="20" t="s">
        <v>25</v>
      </c>
      <c r="C23" s="19"/>
      <c r="D23" s="79">
        <f>D22</f>
        <v>7.0000000000000007E-2</v>
      </c>
      <c r="E23" s="38"/>
      <c r="G23" s="17">
        <f t="shared" ref="G23:I23" si="20">G22</f>
        <v>7.8700000000000006E-2</v>
      </c>
      <c r="H23" s="17">
        <f t="shared" si="20"/>
        <v>7.8700000000000006E-2</v>
      </c>
      <c r="I23" s="17">
        <f t="shared" si="20"/>
        <v>8.2400000000000001E-2</v>
      </c>
      <c r="J23" s="106">
        <f t="shared" ref="J23:L23" si="21">J22</f>
        <v>217770</v>
      </c>
      <c r="K23" s="106">
        <f t="shared" si="21"/>
        <v>217770</v>
      </c>
      <c r="L23" s="106">
        <f t="shared" si="21"/>
        <v>227760</v>
      </c>
      <c r="M23" s="32">
        <f>J23/12</f>
        <v>18147.5</v>
      </c>
      <c r="N23" s="32">
        <f t="shared" si="1"/>
        <v>18147.5</v>
      </c>
      <c r="O23" s="32">
        <f t="shared" si="1"/>
        <v>18980</v>
      </c>
      <c r="Q23" s="99" t="s">
        <v>59</v>
      </c>
      <c r="R23" s="101">
        <f>R21+R22</f>
        <v>226812.5</v>
      </c>
      <c r="S23" s="101">
        <f t="shared" ref="S23:T23" si="22">S21+S22</f>
        <v>225620</v>
      </c>
      <c r="T23" s="101">
        <f t="shared" si="22"/>
        <v>225440</v>
      </c>
      <c r="V23" s="50" t="s">
        <v>60</v>
      </c>
      <c r="W23" s="53">
        <v>130000</v>
      </c>
      <c r="Y23" s="50" t="s">
        <v>59</v>
      </c>
      <c r="Z23" s="26">
        <f>Z21+Z22</f>
        <v>125000</v>
      </c>
      <c r="AA23" s="26">
        <f>AA21+AA22</f>
        <v>125000</v>
      </c>
    </row>
    <row r="24" spans="1:27" x14ac:dyDescent="0.3">
      <c r="A24" s="18" t="s">
        <v>26</v>
      </c>
      <c r="B24" s="119" t="s">
        <v>27</v>
      </c>
      <c r="C24" s="119"/>
      <c r="D24" s="84"/>
      <c r="E24" s="39"/>
      <c r="G24" s="21"/>
      <c r="H24" s="21"/>
      <c r="I24" s="21"/>
      <c r="J24" s="106"/>
      <c r="K24" s="106"/>
      <c r="L24" s="106"/>
      <c r="M24" s="32"/>
      <c r="N24" s="32">
        <f t="shared" si="1"/>
        <v>0</v>
      </c>
      <c r="O24" s="32"/>
      <c r="Q24" s="99" t="s">
        <v>60</v>
      </c>
      <c r="R24" s="100">
        <v>300000</v>
      </c>
      <c r="S24" s="100">
        <v>300000</v>
      </c>
      <c r="T24" s="100">
        <v>300000</v>
      </c>
      <c r="V24" s="50" t="s">
        <v>61</v>
      </c>
      <c r="W24" s="53">
        <v>850000</v>
      </c>
      <c r="Y24" s="50" t="s">
        <v>60</v>
      </c>
      <c r="Z24" s="26">
        <v>300000</v>
      </c>
      <c r="AA24" s="26">
        <v>300000</v>
      </c>
    </row>
    <row r="25" spans="1:27" x14ac:dyDescent="0.3">
      <c r="A25" s="7">
        <v>12</v>
      </c>
      <c r="B25" s="10" t="s">
        <v>28</v>
      </c>
      <c r="C25" s="11" t="s">
        <v>9</v>
      </c>
      <c r="D25" s="73">
        <v>0</v>
      </c>
      <c r="E25" s="37"/>
      <c r="G25" s="30">
        <f>J25/J34</f>
        <v>5.5079999999999997E-2</v>
      </c>
      <c r="H25" s="30">
        <f>K25/K34</f>
        <v>7.1999999999999998E-3</v>
      </c>
      <c r="I25" s="30">
        <v>0</v>
      </c>
      <c r="J25" s="106">
        <f>J8*12%</f>
        <v>165240</v>
      </c>
      <c r="K25" s="106">
        <v>21600</v>
      </c>
      <c r="L25" s="106">
        <v>0</v>
      </c>
      <c r="M25" s="32">
        <f>J25/12</f>
        <v>13770</v>
      </c>
      <c r="N25" s="32">
        <f t="shared" si="1"/>
        <v>1800</v>
      </c>
      <c r="O25" s="32">
        <f t="shared" si="1"/>
        <v>0</v>
      </c>
      <c r="Q25" s="99" t="s">
        <v>61</v>
      </c>
      <c r="R25" s="101">
        <v>2700000</v>
      </c>
      <c r="S25" s="101">
        <v>2700000</v>
      </c>
      <c r="T25" s="101">
        <v>2700000</v>
      </c>
      <c r="V25" s="50" t="s">
        <v>62</v>
      </c>
      <c r="W25" s="53">
        <v>0</v>
      </c>
      <c r="Y25" s="49" t="s">
        <v>61</v>
      </c>
      <c r="Z25" s="96">
        <v>1800000</v>
      </c>
      <c r="AA25" s="96">
        <v>1800000</v>
      </c>
    </row>
    <row r="26" spans="1:27" x14ac:dyDescent="0.3">
      <c r="A26" s="22">
        <v>13</v>
      </c>
      <c r="B26" s="10" t="s">
        <v>29</v>
      </c>
      <c r="C26" s="11" t="s">
        <v>30</v>
      </c>
      <c r="D26" s="73">
        <v>0</v>
      </c>
      <c r="E26" s="37"/>
      <c r="G26" s="9">
        <v>0</v>
      </c>
      <c r="H26" s="9">
        <v>0</v>
      </c>
      <c r="I26" s="9">
        <v>0</v>
      </c>
      <c r="J26" s="106"/>
      <c r="K26" s="106"/>
      <c r="L26" s="106"/>
      <c r="M26" s="32"/>
      <c r="N26" s="32">
        <f t="shared" si="1"/>
        <v>0</v>
      </c>
      <c r="O26" s="32"/>
      <c r="Q26" s="99" t="s">
        <v>62</v>
      </c>
      <c r="R26" s="107">
        <f>M25</f>
        <v>13770</v>
      </c>
      <c r="S26" s="107">
        <f t="shared" ref="S26:T26" si="23">N25</f>
        <v>1800</v>
      </c>
      <c r="T26" s="107">
        <f t="shared" si="23"/>
        <v>0</v>
      </c>
      <c r="V26" s="50" t="s">
        <v>63</v>
      </c>
      <c r="W26" s="53">
        <v>200</v>
      </c>
      <c r="Y26" s="50" t="s">
        <v>62</v>
      </c>
      <c r="Z26" s="26">
        <v>7650</v>
      </c>
      <c r="AA26" s="26">
        <v>0</v>
      </c>
    </row>
    <row r="27" spans="1:27" x14ac:dyDescent="0.3">
      <c r="A27" s="12"/>
      <c r="B27" s="13" t="s">
        <v>31</v>
      </c>
      <c r="C27" s="12"/>
      <c r="D27" s="77">
        <f>SUM(D25:D26)</f>
        <v>0</v>
      </c>
      <c r="E27" s="38"/>
      <c r="G27" s="14">
        <f>SUM(G25:G26)</f>
        <v>5.5079999999999997E-2</v>
      </c>
      <c r="H27" s="14">
        <f>SUM(H25:H26)</f>
        <v>7.1999999999999998E-3</v>
      </c>
      <c r="I27" s="14">
        <f>SUM(I25:I26)</f>
        <v>0</v>
      </c>
      <c r="J27" s="106">
        <f>SUM(J25:J26)</f>
        <v>165240</v>
      </c>
      <c r="K27" s="106">
        <f>SUM(K25:K26)</f>
        <v>21600</v>
      </c>
      <c r="L27" s="106">
        <v>0</v>
      </c>
      <c r="M27" s="32">
        <f>J27/12</f>
        <v>13770</v>
      </c>
      <c r="N27" s="32">
        <f t="shared" si="1"/>
        <v>1800</v>
      </c>
      <c r="O27" s="32">
        <f t="shared" si="1"/>
        <v>0</v>
      </c>
      <c r="Q27" s="99" t="s">
        <v>63</v>
      </c>
      <c r="R27" s="104">
        <v>200</v>
      </c>
      <c r="S27" s="104">
        <v>200</v>
      </c>
      <c r="T27" s="104">
        <v>200</v>
      </c>
      <c r="V27" s="50" t="s">
        <v>64</v>
      </c>
      <c r="W27" s="54">
        <f>W22-W25-W26</f>
        <v>59800</v>
      </c>
      <c r="Y27" s="50" t="s">
        <v>63</v>
      </c>
      <c r="Z27" s="26">
        <v>200</v>
      </c>
      <c r="AA27" s="26">
        <v>200</v>
      </c>
    </row>
    <row r="28" spans="1:27" x14ac:dyDescent="0.3">
      <c r="A28" s="19"/>
      <c r="B28" s="20" t="s">
        <v>32</v>
      </c>
      <c r="C28" s="19"/>
      <c r="D28" s="79">
        <f>D27</f>
        <v>0</v>
      </c>
      <c r="E28" s="38"/>
      <c r="G28" s="17">
        <f>G27</f>
        <v>5.5079999999999997E-2</v>
      </c>
      <c r="H28" s="17">
        <f>H27</f>
        <v>7.1999999999999998E-3</v>
      </c>
      <c r="I28" s="17">
        <f>I27</f>
        <v>0</v>
      </c>
      <c r="J28" s="106">
        <f>J27</f>
        <v>165240</v>
      </c>
      <c r="K28" s="106">
        <f>K27</f>
        <v>21600</v>
      </c>
      <c r="L28" s="106">
        <v>0</v>
      </c>
      <c r="M28" s="32">
        <f>J28/12</f>
        <v>13770</v>
      </c>
      <c r="N28" s="32">
        <f t="shared" si="1"/>
        <v>1800</v>
      </c>
      <c r="O28" s="32">
        <f t="shared" si="1"/>
        <v>0</v>
      </c>
      <c r="Q28" s="99" t="s">
        <v>64</v>
      </c>
      <c r="R28" s="101">
        <f>R23-R26-R27</f>
        <v>212842.5</v>
      </c>
      <c r="S28" s="101">
        <f t="shared" ref="S28:T28" si="24">S23-S26-S27</f>
        <v>223620</v>
      </c>
      <c r="T28" s="101">
        <f t="shared" si="24"/>
        <v>225240</v>
      </c>
      <c r="Y28" s="49" t="s">
        <v>64</v>
      </c>
      <c r="Z28" s="96">
        <f>Z23-Z26-Z27</f>
        <v>117150</v>
      </c>
      <c r="AA28" s="96">
        <f>AA23-AA26-AA27</f>
        <v>124800</v>
      </c>
    </row>
    <row r="29" spans="1:27" x14ac:dyDescent="0.3">
      <c r="A29" s="23" t="s">
        <v>33</v>
      </c>
      <c r="B29" s="24" t="s">
        <v>34</v>
      </c>
      <c r="C29" s="25" t="s">
        <v>35</v>
      </c>
      <c r="D29" s="73">
        <v>0</v>
      </c>
      <c r="E29" s="37"/>
      <c r="G29" s="9">
        <v>0</v>
      </c>
      <c r="H29" s="9">
        <v>0</v>
      </c>
      <c r="I29" s="9">
        <v>0</v>
      </c>
      <c r="J29" s="106"/>
      <c r="K29" s="106"/>
      <c r="L29" s="106"/>
      <c r="M29" s="32"/>
      <c r="N29" s="32">
        <f t="shared" si="1"/>
        <v>0</v>
      </c>
      <c r="O29" s="32"/>
    </row>
    <row r="30" spans="1:27" x14ac:dyDescent="0.3">
      <c r="A30" s="12"/>
      <c r="B30" s="13" t="s">
        <v>36</v>
      </c>
      <c r="C30" s="12"/>
      <c r="D30" s="77"/>
      <c r="E30" s="38"/>
      <c r="G30" s="14">
        <f>SUM(G29)</f>
        <v>0</v>
      </c>
      <c r="H30" s="14">
        <f>SUM(H29)</f>
        <v>0</v>
      </c>
      <c r="I30" s="14">
        <f>SUM(I29)</f>
        <v>0</v>
      </c>
      <c r="J30" s="106"/>
      <c r="K30" s="106"/>
      <c r="L30" s="106"/>
      <c r="M30" s="32"/>
      <c r="N30" s="32">
        <f t="shared" si="1"/>
        <v>0</v>
      </c>
      <c r="O30" s="32"/>
    </row>
    <row r="31" spans="1:27" x14ac:dyDescent="0.3">
      <c r="A31" s="19"/>
      <c r="B31" s="20" t="s">
        <v>37</v>
      </c>
      <c r="C31" s="19"/>
      <c r="D31" s="79"/>
      <c r="E31" s="38"/>
      <c r="G31" s="17">
        <f>G30</f>
        <v>0</v>
      </c>
      <c r="H31" s="17">
        <f>H30</f>
        <v>0</v>
      </c>
      <c r="I31" s="17">
        <f>I30</f>
        <v>0</v>
      </c>
      <c r="J31" s="106"/>
      <c r="K31" s="106"/>
      <c r="L31" s="106"/>
      <c r="M31" s="32"/>
      <c r="N31" s="32">
        <f t="shared" si="1"/>
        <v>0</v>
      </c>
      <c r="O31" s="32"/>
    </row>
    <row r="32" spans="1:27" x14ac:dyDescent="0.3">
      <c r="A32" s="15"/>
      <c r="B32" s="16" t="s">
        <v>38</v>
      </c>
      <c r="C32" s="15"/>
      <c r="D32" s="79">
        <f>D13+D23+D28+D29</f>
        <v>1</v>
      </c>
      <c r="E32" s="38"/>
      <c r="G32" s="17">
        <f>G31+G28+G23+G13</f>
        <v>0.99997999999999998</v>
      </c>
      <c r="H32" s="17">
        <f>H31+H28+H23+H13</f>
        <v>0.99999999999999989</v>
      </c>
      <c r="I32" s="17">
        <f>I31+I28+I23+I13</f>
        <v>1</v>
      </c>
      <c r="J32" s="106">
        <f>J13+J23+J28+J31</f>
        <v>2721750</v>
      </c>
      <c r="K32" s="106">
        <f>K13+K23+K28+K31</f>
        <v>2707439.9999999995</v>
      </c>
      <c r="L32" s="106">
        <f>L13+L23+L28+L31</f>
        <v>2705280</v>
      </c>
      <c r="M32" s="32">
        <f>J32/12</f>
        <v>226812.5</v>
      </c>
      <c r="N32" s="32">
        <f t="shared" si="1"/>
        <v>225619.99999999997</v>
      </c>
      <c r="O32" s="32">
        <f t="shared" si="1"/>
        <v>225440</v>
      </c>
    </row>
    <row r="33" spans="10:15" x14ac:dyDescent="0.3">
      <c r="M33" s="90"/>
      <c r="N33" s="90"/>
      <c r="O33" s="90"/>
    </row>
    <row r="34" spans="10:15" x14ac:dyDescent="0.3">
      <c r="J34" s="90">
        <v>3000000</v>
      </c>
      <c r="K34" s="90">
        <v>3000000</v>
      </c>
      <c r="L34" s="90">
        <v>3000000</v>
      </c>
      <c r="M34" s="90"/>
      <c r="N34" s="90"/>
      <c r="O34" s="90"/>
    </row>
    <row r="35" spans="10:15" x14ac:dyDescent="0.3">
      <c r="M35" s="105"/>
      <c r="N35" s="105"/>
      <c r="O35" s="105"/>
    </row>
    <row r="36" spans="10:15" x14ac:dyDescent="0.3">
      <c r="M36" s="105"/>
      <c r="N36" s="105"/>
      <c r="O36" s="105"/>
    </row>
  </sheetData>
  <mergeCells count="9">
    <mergeCell ref="B14:C14"/>
    <mergeCell ref="B24:C24"/>
    <mergeCell ref="B7:C7"/>
    <mergeCell ref="G1:J1"/>
    <mergeCell ref="B5:B6"/>
    <mergeCell ref="C5:C6"/>
    <mergeCell ref="Q5:T5"/>
    <mergeCell ref="Y5:AA5"/>
    <mergeCell ref="V5:W5"/>
  </mergeCells>
  <conditionalFormatting sqref="D8:E11">
    <cfRule type="notContainsErrors" dxfId="27" priority="14">
      <formula>NOT(ISERROR(D8))</formula>
    </cfRule>
  </conditionalFormatting>
  <conditionalFormatting sqref="D15:E21">
    <cfRule type="notContainsErrors" dxfId="26" priority="13">
      <formula>NOT(ISERROR(D15))</formula>
    </cfRule>
  </conditionalFormatting>
  <conditionalFormatting sqref="D25:E26">
    <cfRule type="notContainsErrors" dxfId="25" priority="16">
      <formula>NOT(ISERROR(D25))</formula>
    </cfRule>
  </conditionalFormatting>
  <conditionalFormatting sqref="D29:E29">
    <cfRule type="notContainsErrors" dxfId="24" priority="15">
      <formula>NOT(ISERROR(D29))</formula>
    </cfRule>
  </conditionalFormatting>
  <conditionalFormatting sqref="G8:I11">
    <cfRule type="notContainsErrors" dxfId="23" priority="2">
      <formula>NOT(ISERROR(G8))</formula>
    </cfRule>
  </conditionalFormatting>
  <conditionalFormatting sqref="G15:I21">
    <cfRule type="notContainsErrors" dxfId="22" priority="1">
      <formula>NOT(ISERROR(G15))</formula>
    </cfRule>
  </conditionalFormatting>
  <conditionalFormatting sqref="G25:I26">
    <cfRule type="notContainsErrors" dxfId="21" priority="4">
      <formula>NOT(ISERROR(G25))</formula>
    </cfRule>
  </conditionalFormatting>
  <conditionalFormatting sqref="G29:I29">
    <cfRule type="notContainsErrors" dxfId="20" priority="3">
      <formula>NOT(ISERROR(G29))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B031-1ADA-45C8-92B5-0B4F899B3A34}">
  <dimension ref="A1:Q33"/>
  <sheetViews>
    <sheetView topLeftCell="A3" workbookViewId="0">
      <selection activeCell="B23" sqref="B23"/>
    </sheetView>
  </sheetViews>
  <sheetFormatPr defaultRowHeight="14.4" x14ac:dyDescent="0.3"/>
  <cols>
    <col min="1" max="1" width="3.21875" bestFit="1" customWidth="1"/>
    <col min="2" max="2" width="43.21875" bestFit="1" customWidth="1"/>
    <col min="3" max="3" width="6.5546875" bestFit="1" customWidth="1"/>
    <col min="4" max="4" width="8.88671875" style="61"/>
    <col min="5" max="5" width="3.77734375" style="88" customWidth="1"/>
    <col min="6" max="7" width="15.77734375" bestFit="1" customWidth="1"/>
    <col min="8" max="8" width="3.77734375" style="88" customWidth="1"/>
    <col min="9" max="10" width="17.77734375" bestFit="1" customWidth="1"/>
    <col min="11" max="11" width="3.77734375" style="88" customWidth="1"/>
    <col min="12" max="12" width="17.21875" bestFit="1" customWidth="1"/>
    <col min="13" max="13" width="17.77734375" bestFit="1" customWidth="1"/>
    <col min="14" max="14" width="3.77734375" style="88" customWidth="1"/>
    <col min="15" max="16" width="15.77734375" bestFit="1" customWidth="1"/>
    <col min="17" max="17" width="3.77734375" style="88" customWidth="1"/>
  </cols>
  <sheetData>
    <row r="1" spans="1:17" s="58" customFormat="1" x14ac:dyDescent="0.3">
      <c r="D1" s="59"/>
      <c r="E1" s="60"/>
      <c r="F1" s="58" t="s">
        <v>68</v>
      </c>
      <c r="G1" s="58" t="s">
        <v>69</v>
      </c>
      <c r="H1" s="60"/>
      <c r="I1" s="58" t="s">
        <v>70</v>
      </c>
      <c r="J1" s="58" t="s">
        <v>71</v>
      </c>
      <c r="K1" s="60"/>
      <c r="L1" s="58" t="s">
        <v>72</v>
      </c>
      <c r="M1" s="58" t="s">
        <v>73</v>
      </c>
      <c r="N1" s="60"/>
      <c r="O1" s="58" t="s">
        <v>72</v>
      </c>
      <c r="P1" s="58" t="s">
        <v>73</v>
      </c>
      <c r="Q1" s="60"/>
    </row>
    <row r="2" spans="1:17" x14ac:dyDescent="0.3">
      <c r="D2" s="61" t="s">
        <v>74</v>
      </c>
      <c r="E2" s="62"/>
      <c r="F2" t="s">
        <v>75</v>
      </c>
      <c r="G2" t="s">
        <v>75</v>
      </c>
      <c r="H2" s="62"/>
      <c r="I2" t="s">
        <v>76</v>
      </c>
      <c r="J2" t="s">
        <v>76</v>
      </c>
      <c r="K2" s="62"/>
      <c r="L2" t="s">
        <v>77</v>
      </c>
      <c r="M2" t="s">
        <v>78</v>
      </c>
      <c r="N2" s="62"/>
      <c r="O2" t="s">
        <v>79</v>
      </c>
      <c r="P2" t="s">
        <v>79</v>
      </c>
      <c r="Q2" s="62"/>
    </row>
    <row r="3" spans="1:17" x14ac:dyDescent="0.3">
      <c r="A3" s="47" t="s">
        <v>0</v>
      </c>
      <c r="B3" s="109" t="s">
        <v>1</v>
      </c>
      <c r="C3" s="111" t="s">
        <v>2</v>
      </c>
      <c r="D3" s="2" t="s">
        <v>3</v>
      </c>
      <c r="E3" s="63"/>
      <c r="F3" s="2" t="s">
        <v>3</v>
      </c>
      <c r="G3" s="64" t="s">
        <v>3</v>
      </c>
      <c r="H3" s="63"/>
      <c r="I3" s="65" t="s">
        <v>3</v>
      </c>
      <c r="J3" s="66" t="s">
        <v>3</v>
      </c>
      <c r="K3" s="63"/>
      <c r="L3" s="2" t="s">
        <v>3</v>
      </c>
      <c r="M3" s="2" t="s">
        <v>3</v>
      </c>
      <c r="N3" s="63"/>
      <c r="O3" s="2" t="s">
        <v>3</v>
      </c>
      <c r="P3" s="2" t="s">
        <v>3</v>
      </c>
      <c r="Q3" s="63"/>
    </row>
    <row r="4" spans="1:17" x14ac:dyDescent="0.3">
      <c r="A4" s="48" t="s">
        <v>4</v>
      </c>
      <c r="B4" s="110"/>
      <c r="C4" s="112"/>
      <c r="D4" s="4" t="s">
        <v>5</v>
      </c>
      <c r="E4" s="63"/>
      <c r="F4" s="4" t="s">
        <v>5</v>
      </c>
      <c r="G4" s="67" t="s">
        <v>5</v>
      </c>
      <c r="H4" s="63"/>
      <c r="I4" s="68" t="s">
        <v>5</v>
      </c>
      <c r="J4" s="69" t="s">
        <v>5</v>
      </c>
      <c r="K4" s="63"/>
      <c r="L4" s="4" t="s">
        <v>5</v>
      </c>
      <c r="M4" s="4" t="s">
        <v>5</v>
      </c>
      <c r="N4" s="63"/>
      <c r="O4" s="4" t="s">
        <v>5</v>
      </c>
      <c r="P4" s="4" t="s">
        <v>5</v>
      </c>
      <c r="Q4" s="63"/>
    </row>
    <row r="5" spans="1:17" x14ac:dyDescent="0.3">
      <c r="A5" s="5" t="s">
        <v>6</v>
      </c>
      <c r="B5" s="119" t="s">
        <v>7</v>
      </c>
      <c r="C5" s="119"/>
      <c r="D5" s="6"/>
      <c r="E5" s="70"/>
      <c r="F5" s="6"/>
      <c r="G5" s="71"/>
      <c r="H5" s="70"/>
      <c r="I5" s="72"/>
      <c r="J5" s="29"/>
      <c r="K5" s="70"/>
      <c r="L5" s="6"/>
      <c r="M5" s="6"/>
      <c r="N5" s="70"/>
      <c r="O5" s="6"/>
      <c r="P5" s="6"/>
      <c r="Q5" s="70"/>
    </row>
    <row r="6" spans="1:17" x14ac:dyDescent="0.3">
      <c r="A6" s="7">
        <v>1</v>
      </c>
      <c r="B6" s="8" t="s">
        <v>8</v>
      </c>
      <c r="C6" s="7" t="s">
        <v>9</v>
      </c>
      <c r="D6" s="9">
        <v>0.51</v>
      </c>
      <c r="E6" s="63"/>
      <c r="F6" s="9">
        <v>0.51</v>
      </c>
      <c r="G6" s="73">
        <v>0.51</v>
      </c>
      <c r="H6" s="63"/>
      <c r="I6" s="74">
        <v>0.51</v>
      </c>
      <c r="J6" s="9">
        <v>0.51</v>
      </c>
      <c r="K6" s="63"/>
      <c r="L6" s="9">
        <v>0.51</v>
      </c>
      <c r="M6" s="9">
        <v>0.51</v>
      </c>
      <c r="N6" s="63"/>
      <c r="O6" s="9">
        <v>0.51</v>
      </c>
      <c r="P6" s="9">
        <v>0.51</v>
      </c>
      <c r="Q6" s="63"/>
    </row>
    <row r="7" spans="1:17" x14ac:dyDescent="0.3">
      <c r="A7" s="7">
        <v>2</v>
      </c>
      <c r="B7" s="8" t="s">
        <v>10</v>
      </c>
      <c r="C7" s="7" t="s">
        <v>9</v>
      </c>
      <c r="D7" s="9">
        <v>0.21</v>
      </c>
      <c r="E7" s="63"/>
      <c r="F7" s="9">
        <v>0.17499999999999999</v>
      </c>
      <c r="G7" s="73">
        <v>0.2</v>
      </c>
      <c r="H7" s="63"/>
      <c r="I7" s="74">
        <v>0.2</v>
      </c>
      <c r="J7" s="9">
        <v>0.22</v>
      </c>
      <c r="K7" s="63"/>
      <c r="L7" s="9">
        <v>0.2</v>
      </c>
      <c r="M7" s="9">
        <v>0.22</v>
      </c>
      <c r="N7" s="63"/>
      <c r="O7" s="9">
        <v>0.22</v>
      </c>
      <c r="P7" s="9">
        <v>0.25</v>
      </c>
      <c r="Q7" s="63"/>
    </row>
    <row r="8" spans="1:17" x14ac:dyDescent="0.3">
      <c r="A8" s="7">
        <v>3</v>
      </c>
      <c r="B8" s="8" t="s">
        <v>11</v>
      </c>
      <c r="C8" s="7" t="s">
        <v>9</v>
      </c>
      <c r="D8" s="9">
        <v>0.03</v>
      </c>
      <c r="E8" s="75"/>
      <c r="F8" s="9">
        <v>1.4999999999999999E-2</v>
      </c>
      <c r="G8" s="73">
        <v>0.02</v>
      </c>
      <c r="H8" s="75"/>
      <c r="I8" s="74">
        <v>0.02</v>
      </c>
      <c r="J8" s="9">
        <v>0.04</v>
      </c>
      <c r="K8" s="75"/>
      <c r="L8" s="30">
        <v>3.2500000000000001E-2</v>
      </c>
      <c r="M8" s="9">
        <v>0.04</v>
      </c>
      <c r="N8" s="75"/>
      <c r="O8" s="9">
        <v>0.05</v>
      </c>
      <c r="P8" s="9">
        <v>7.0000000000000007E-2</v>
      </c>
      <c r="Q8" s="75"/>
    </row>
    <row r="9" spans="1:17" x14ac:dyDescent="0.3">
      <c r="A9" s="7">
        <v>4</v>
      </c>
      <c r="B9" s="10" t="s">
        <v>12</v>
      </c>
      <c r="C9" s="11" t="s">
        <v>9</v>
      </c>
      <c r="D9" s="9">
        <v>0.18</v>
      </c>
      <c r="E9" s="76"/>
      <c r="F9" s="9">
        <v>0.1</v>
      </c>
      <c r="G9" s="73">
        <v>0.12</v>
      </c>
      <c r="H9" s="76"/>
      <c r="I9" s="74">
        <v>0.12</v>
      </c>
      <c r="J9" s="9">
        <v>0.12</v>
      </c>
      <c r="K9" s="76"/>
      <c r="L9" s="9">
        <v>0.1</v>
      </c>
      <c r="M9" s="9">
        <v>0.13</v>
      </c>
      <c r="N9" s="76"/>
      <c r="O9" s="9">
        <v>0.1588</v>
      </c>
      <c r="P9" s="9">
        <v>0.17</v>
      </c>
      <c r="Q9" s="76"/>
    </row>
    <row r="10" spans="1:17" x14ac:dyDescent="0.3">
      <c r="A10" s="12"/>
      <c r="B10" s="13" t="s">
        <v>13</v>
      </c>
      <c r="C10" s="12"/>
      <c r="D10" s="14">
        <f>SUM(D6:D9)</f>
        <v>0.92999999999999994</v>
      </c>
      <c r="E10" s="76"/>
      <c r="F10" s="14">
        <f>SUM(F6:F9)</f>
        <v>0.8</v>
      </c>
      <c r="G10" s="77">
        <f>SUM(G6:G9)</f>
        <v>0.85</v>
      </c>
      <c r="H10" s="76"/>
      <c r="I10" s="78">
        <f>SUM(I6:I9)</f>
        <v>0.85</v>
      </c>
      <c r="J10" s="14">
        <f>SUM(J6:J9)</f>
        <v>0.89</v>
      </c>
      <c r="K10" s="76"/>
      <c r="L10" s="14">
        <f>SUM(L6:L9)</f>
        <v>0.84249999999999992</v>
      </c>
      <c r="M10" s="14">
        <f>SUM(M6:M9)</f>
        <v>0.9</v>
      </c>
      <c r="N10" s="76"/>
      <c r="O10" s="14">
        <f>SUM(O6:O9)</f>
        <v>0.93880000000000008</v>
      </c>
      <c r="P10" s="14">
        <f>SUM(P6:P9)</f>
        <v>1</v>
      </c>
      <c r="Q10" s="76"/>
    </row>
    <row r="11" spans="1:17" x14ac:dyDescent="0.3">
      <c r="A11" s="15"/>
      <c r="B11" s="16" t="s">
        <v>14</v>
      </c>
      <c r="C11" s="15"/>
      <c r="D11" s="17">
        <f>D10</f>
        <v>0.92999999999999994</v>
      </c>
      <c r="E11" s="76"/>
      <c r="F11" s="17">
        <f>F10</f>
        <v>0.8</v>
      </c>
      <c r="G11" s="79">
        <f>G10</f>
        <v>0.85</v>
      </c>
      <c r="H11" s="76"/>
      <c r="I11" s="80">
        <f>I10</f>
        <v>0.85</v>
      </c>
      <c r="J11" s="17">
        <f>J10</f>
        <v>0.89</v>
      </c>
      <c r="K11" s="76"/>
      <c r="L11" s="17">
        <f>L10</f>
        <v>0.84249999999999992</v>
      </c>
      <c r="M11" s="17">
        <f>M10</f>
        <v>0.9</v>
      </c>
      <c r="N11" s="76"/>
      <c r="O11" s="17">
        <f>O10</f>
        <v>0.93880000000000008</v>
      </c>
      <c r="P11" s="17">
        <f>P10</f>
        <v>1</v>
      </c>
      <c r="Q11" s="76"/>
    </row>
    <row r="12" spans="1:17" x14ac:dyDescent="0.3">
      <c r="A12" s="18" t="s">
        <v>15</v>
      </c>
      <c r="B12" s="119" t="s">
        <v>16</v>
      </c>
      <c r="C12" s="119"/>
      <c r="D12" s="6"/>
      <c r="E12" s="76"/>
      <c r="F12" s="6"/>
      <c r="G12" s="71"/>
      <c r="H12" s="76"/>
      <c r="I12" s="81"/>
      <c r="J12" s="6"/>
      <c r="K12" s="76"/>
      <c r="L12" s="6"/>
      <c r="M12" s="6"/>
      <c r="N12" s="76"/>
      <c r="O12" s="6"/>
      <c r="P12" s="6"/>
      <c r="Q12" s="76"/>
    </row>
    <row r="13" spans="1:17" x14ac:dyDescent="0.3">
      <c r="A13" s="7">
        <v>5</v>
      </c>
      <c r="B13" s="10" t="s">
        <v>17</v>
      </c>
      <c r="C13" s="11" t="s">
        <v>9</v>
      </c>
      <c r="D13" s="9">
        <v>0</v>
      </c>
      <c r="E13" s="76"/>
      <c r="F13" s="9">
        <v>0.03</v>
      </c>
      <c r="G13" s="73">
        <v>5.5E-2</v>
      </c>
      <c r="H13" s="76"/>
      <c r="I13" s="74">
        <v>0.02</v>
      </c>
      <c r="J13" s="9">
        <v>0.02</v>
      </c>
      <c r="K13" s="76"/>
      <c r="L13" s="9">
        <v>0</v>
      </c>
      <c r="M13" s="9">
        <v>0</v>
      </c>
      <c r="N13" s="76"/>
      <c r="O13" s="9">
        <v>0</v>
      </c>
      <c r="P13" s="9">
        <v>0</v>
      </c>
      <c r="Q13" s="76"/>
    </row>
    <row r="14" spans="1:17" x14ac:dyDescent="0.3">
      <c r="A14" s="7">
        <v>6</v>
      </c>
      <c r="B14" s="10" t="s">
        <v>18</v>
      </c>
      <c r="C14" s="11" t="s">
        <v>9</v>
      </c>
      <c r="D14" s="9">
        <v>0</v>
      </c>
      <c r="E14" s="76"/>
      <c r="F14" s="9">
        <v>0.03</v>
      </c>
      <c r="G14" s="73">
        <v>5.5E-2</v>
      </c>
      <c r="H14" s="76"/>
      <c r="I14" s="74">
        <v>0.02</v>
      </c>
      <c r="J14" s="9">
        <v>0.02</v>
      </c>
      <c r="K14" s="76"/>
      <c r="L14" s="9">
        <v>0</v>
      </c>
      <c r="M14" s="9">
        <v>0</v>
      </c>
      <c r="N14" s="76"/>
      <c r="O14" s="9">
        <v>0</v>
      </c>
      <c r="P14" s="9">
        <v>0</v>
      </c>
      <c r="Q14" s="76"/>
    </row>
    <row r="15" spans="1:17" x14ac:dyDescent="0.3">
      <c r="A15" s="7">
        <v>7</v>
      </c>
      <c r="B15" s="10" t="s">
        <v>19</v>
      </c>
      <c r="C15" s="11" t="s">
        <v>9</v>
      </c>
      <c r="D15" s="9">
        <v>0</v>
      </c>
      <c r="E15" s="76"/>
      <c r="F15" s="30">
        <v>5.1999999999999998E-3</v>
      </c>
      <c r="G15" s="82">
        <v>7.6E-3</v>
      </c>
      <c r="H15" s="76"/>
      <c r="I15" s="83">
        <v>3.8E-3</v>
      </c>
      <c r="J15" s="30">
        <v>5.0000000000000001E-3</v>
      </c>
      <c r="K15" s="76"/>
      <c r="L15" s="30">
        <v>9.4000000000000004E-3</v>
      </c>
      <c r="M15" s="30">
        <v>0.01</v>
      </c>
      <c r="N15" s="76"/>
      <c r="O15" s="9">
        <v>0</v>
      </c>
      <c r="P15" s="9">
        <v>0</v>
      </c>
      <c r="Q15" s="76"/>
    </row>
    <row r="16" spans="1:17" x14ac:dyDescent="0.3">
      <c r="A16" s="7">
        <v>8</v>
      </c>
      <c r="B16" s="10" t="s">
        <v>20</v>
      </c>
      <c r="C16" s="11" t="s">
        <v>9</v>
      </c>
      <c r="D16" s="9">
        <v>0</v>
      </c>
      <c r="E16" s="76"/>
      <c r="F16" s="9">
        <v>5.0000000000000001E-3</v>
      </c>
      <c r="G16" s="73">
        <v>5.0000000000000001E-3</v>
      </c>
      <c r="H16" s="76"/>
      <c r="I16" s="74">
        <v>0.02</v>
      </c>
      <c r="J16" s="9">
        <v>0.02</v>
      </c>
      <c r="K16" s="76"/>
      <c r="L16" s="9">
        <v>2.2499999999999999E-2</v>
      </c>
      <c r="M16" s="9">
        <v>2.5000000000000001E-2</v>
      </c>
      <c r="N16" s="76"/>
      <c r="O16" s="9">
        <v>0</v>
      </c>
      <c r="P16" s="9">
        <v>0</v>
      </c>
      <c r="Q16" s="76"/>
    </row>
    <row r="17" spans="1:17" x14ac:dyDescent="0.3">
      <c r="A17" s="7">
        <v>9</v>
      </c>
      <c r="B17" s="10" t="s">
        <v>21</v>
      </c>
      <c r="C17" s="11" t="s">
        <v>9</v>
      </c>
      <c r="D17" s="9">
        <v>0</v>
      </c>
      <c r="E17" s="76"/>
      <c r="F17" s="9">
        <v>0.01</v>
      </c>
      <c r="G17" s="73">
        <v>0.01</v>
      </c>
      <c r="H17" s="76"/>
      <c r="I17" s="74">
        <v>2.5000000000000001E-2</v>
      </c>
      <c r="J17" s="9">
        <v>2.5000000000000001E-2</v>
      </c>
      <c r="K17" s="76"/>
      <c r="L17" s="9">
        <v>0.03</v>
      </c>
      <c r="M17" s="9">
        <v>0.03</v>
      </c>
      <c r="N17" s="76"/>
      <c r="O17" s="9">
        <v>0</v>
      </c>
      <c r="P17" s="9">
        <v>0</v>
      </c>
      <c r="Q17" s="76"/>
    </row>
    <row r="18" spans="1:17" x14ac:dyDescent="0.3">
      <c r="A18" s="7">
        <v>10</v>
      </c>
      <c r="B18" s="10" t="s">
        <v>22</v>
      </c>
      <c r="C18" s="11" t="s">
        <v>9</v>
      </c>
      <c r="D18" s="9">
        <v>7.0000000000000007E-2</v>
      </c>
      <c r="E18" s="76"/>
      <c r="F18" s="9">
        <v>0</v>
      </c>
      <c r="G18" s="73">
        <v>0</v>
      </c>
      <c r="H18" s="76"/>
      <c r="I18" s="74">
        <v>0</v>
      </c>
      <c r="J18" s="9">
        <v>0.02</v>
      </c>
      <c r="K18" s="76"/>
      <c r="L18" s="9">
        <v>0</v>
      </c>
      <c r="M18" s="9">
        <v>0</v>
      </c>
      <c r="N18" s="76"/>
      <c r="O18" s="9">
        <v>0</v>
      </c>
      <c r="P18" s="9">
        <v>0</v>
      </c>
      <c r="Q18" s="76"/>
    </row>
    <row r="19" spans="1:17" x14ac:dyDescent="0.3">
      <c r="A19" s="7">
        <v>11</v>
      </c>
      <c r="B19" s="10" t="s">
        <v>23</v>
      </c>
      <c r="C19" s="11" t="s">
        <v>9</v>
      </c>
      <c r="D19" s="9">
        <v>0</v>
      </c>
      <c r="E19" s="76"/>
      <c r="F19" s="30">
        <v>1.0200000000000001E-2</v>
      </c>
      <c r="G19" s="82">
        <v>1.7399999999999999E-2</v>
      </c>
      <c r="H19" s="76"/>
      <c r="I19" s="74">
        <v>0</v>
      </c>
      <c r="J19" s="30">
        <v>0</v>
      </c>
      <c r="K19" s="76"/>
      <c r="L19" s="30">
        <v>3.44E-2</v>
      </c>
      <c r="M19" s="30">
        <v>3.5000000000000003E-2</v>
      </c>
      <c r="N19" s="76"/>
      <c r="O19" s="9">
        <v>0</v>
      </c>
      <c r="P19" s="9">
        <v>0</v>
      </c>
      <c r="Q19" s="76"/>
    </row>
    <row r="20" spans="1:17" x14ac:dyDescent="0.3">
      <c r="A20" s="12"/>
      <c r="B20" s="13" t="s">
        <v>24</v>
      </c>
      <c r="C20" s="12"/>
      <c r="D20" s="14">
        <f>SUM(D13:D19)</f>
        <v>7.0000000000000007E-2</v>
      </c>
      <c r="E20" s="76"/>
      <c r="F20" s="14">
        <f>SUM(F13:F19)</f>
        <v>9.0399999999999994E-2</v>
      </c>
      <c r="G20" s="77">
        <f>SUM(G13:G19)</f>
        <v>0.15</v>
      </c>
      <c r="H20" s="76"/>
      <c r="I20" s="78">
        <f>SUM(I13:I19)</f>
        <v>8.879999999999999E-2</v>
      </c>
      <c r="J20" s="14">
        <f>SUM(J13:J19)</f>
        <v>0.11</v>
      </c>
      <c r="K20" s="76"/>
      <c r="L20" s="14">
        <f>SUM(L13:L19)</f>
        <v>9.6299999999999997E-2</v>
      </c>
      <c r="M20" s="14">
        <f>SUM(M13:M19)</f>
        <v>0.1</v>
      </c>
      <c r="N20" s="76"/>
      <c r="O20" s="14">
        <f>SUM(O13:O19)</f>
        <v>0</v>
      </c>
      <c r="P20" s="14">
        <f>SUM(P13:P19)</f>
        <v>0</v>
      </c>
      <c r="Q20" s="76"/>
    </row>
    <row r="21" spans="1:17" x14ac:dyDescent="0.3">
      <c r="A21" s="19"/>
      <c r="B21" s="20" t="s">
        <v>25</v>
      </c>
      <c r="C21" s="19"/>
      <c r="D21" s="17">
        <f>D20</f>
        <v>7.0000000000000007E-2</v>
      </c>
      <c r="E21" s="76"/>
      <c r="F21" s="17">
        <f>F20</f>
        <v>9.0399999999999994E-2</v>
      </c>
      <c r="G21" s="79">
        <f>G20</f>
        <v>0.15</v>
      </c>
      <c r="H21" s="76"/>
      <c r="I21" s="80">
        <f>I20</f>
        <v>8.879999999999999E-2</v>
      </c>
      <c r="J21" s="17">
        <f>J20</f>
        <v>0.11</v>
      </c>
      <c r="K21" s="76"/>
      <c r="L21" s="17">
        <f>L20</f>
        <v>9.6299999999999997E-2</v>
      </c>
      <c r="M21" s="17">
        <f>M20</f>
        <v>0.1</v>
      </c>
      <c r="N21" s="76"/>
      <c r="O21" s="17">
        <f>O20</f>
        <v>0</v>
      </c>
      <c r="P21" s="17">
        <f>P20</f>
        <v>0</v>
      </c>
      <c r="Q21" s="76"/>
    </row>
    <row r="22" spans="1:17" x14ac:dyDescent="0.3">
      <c r="A22" s="18" t="s">
        <v>26</v>
      </c>
      <c r="B22" s="119" t="s">
        <v>27</v>
      </c>
      <c r="C22" s="119"/>
      <c r="D22" s="21"/>
      <c r="E22" s="76"/>
      <c r="F22" s="21"/>
      <c r="G22" s="84"/>
      <c r="H22" s="76"/>
      <c r="I22" s="85"/>
      <c r="J22" s="21"/>
      <c r="K22" s="76"/>
      <c r="L22" s="21"/>
      <c r="M22" s="21"/>
      <c r="N22" s="76"/>
      <c r="O22" s="21"/>
      <c r="P22" s="21"/>
      <c r="Q22" s="76"/>
    </row>
    <row r="23" spans="1:17" x14ac:dyDescent="0.3">
      <c r="A23" s="7">
        <v>12</v>
      </c>
      <c r="B23" s="10" t="s">
        <v>28</v>
      </c>
      <c r="C23" s="11" t="s">
        <v>9</v>
      </c>
      <c r="D23" s="9">
        <v>0</v>
      </c>
      <c r="E23" s="76"/>
      <c r="F23" s="30">
        <v>6.1200044949329846E-2</v>
      </c>
      <c r="G23" s="82">
        <v>0</v>
      </c>
      <c r="H23" s="76"/>
      <c r="I23" s="83">
        <v>6.1200094702782329E-2</v>
      </c>
      <c r="J23" s="30">
        <v>0</v>
      </c>
      <c r="K23" s="76"/>
      <c r="L23" s="30">
        <v>6.1199999999999997E-2</v>
      </c>
      <c r="M23" s="30">
        <v>0</v>
      </c>
      <c r="N23" s="76"/>
      <c r="O23" s="30">
        <v>6.1199999999999997E-2</v>
      </c>
      <c r="P23" s="30">
        <v>0</v>
      </c>
      <c r="Q23" s="76"/>
    </row>
    <row r="24" spans="1:17" x14ac:dyDescent="0.3">
      <c r="A24" s="22">
        <v>13</v>
      </c>
      <c r="B24" s="10" t="s">
        <v>29</v>
      </c>
      <c r="C24" s="11" t="s">
        <v>30</v>
      </c>
      <c r="D24" s="9">
        <v>0</v>
      </c>
      <c r="E24" s="86"/>
      <c r="F24" s="30">
        <v>0</v>
      </c>
      <c r="G24" s="82">
        <v>0</v>
      </c>
      <c r="H24" s="86"/>
      <c r="I24" s="74">
        <v>0</v>
      </c>
      <c r="J24" s="9">
        <v>0</v>
      </c>
      <c r="K24" s="86"/>
      <c r="L24" s="9">
        <v>0</v>
      </c>
      <c r="M24" s="9">
        <v>0</v>
      </c>
      <c r="N24" s="86"/>
      <c r="O24" s="9">
        <v>0</v>
      </c>
      <c r="P24" s="9">
        <v>0</v>
      </c>
      <c r="Q24" s="86"/>
    </row>
    <row r="25" spans="1:17" x14ac:dyDescent="0.3">
      <c r="A25" s="12"/>
      <c r="B25" s="13" t="s">
        <v>31</v>
      </c>
      <c r="C25" s="12"/>
      <c r="D25" s="14">
        <f>SUM(D23:D24)</f>
        <v>0</v>
      </c>
      <c r="E25" s="76"/>
      <c r="F25" s="14">
        <f>SUM(F23:F24)</f>
        <v>6.1200044949329846E-2</v>
      </c>
      <c r="G25" s="77">
        <f>SUM(G23:G24)</f>
        <v>0</v>
      </c>
      <c r="H25" s="76"/>
      <c r="I25" s="78">
        <f>SUM(I23:I24)</f>
        <v>6.1200094702782329E-2</v>
      </c>
      <c r="J25" s="14">
        <f>SUM(J23:J24)</f>
        <v>0</v>
      </c>
      <c r="K25" s="76"/>
      <c r="L25" s="14">
        <f>SUM(L23:L24)</f>
        <v>6.1199999999999997E-2</v>
      </c>
      <c r="M25" s="14">
        <f>SUM(M23:M24)</f>
        <v>0</v>
      </c>
      <c r="N25" s="76"/>
      <c r="O25" s="14">
        <f>SUM(O23:O24)</f>
        <v>6.1199999999999997E-2</v>
      </c>
      <c r="P25" s="14">
        <f>SUM(P23:P24)</f>
        <v>0</v>
      </c>
      <c r="Q25" s="76"/>
    </row>
    <row r="26" spans="1:17" x14ac:dyDescent="0.3">
      <c r="A26" s="19"/>
      <c r="B26" s="20" t="s">
        <v>32</v>
      </c>
      <c r="C26" s="19"/>
      <c r="D26" s="17">
        <f>D25</f>
        <v>0</v>
      </c>
      <c r="E26" s="76"/>
      <c r="F26" s="17">
        <f>F25</f>
        <v>6.1200044949329846E-2</v>
      </c>
      <c r="G26" s="79">
        <f>G25</f>
        <v>0</v>
      </c>
      <c r="H26" s="76"/>
      <c r="I26" s="80">
        <f>I25</f>
        <v>6.1200094702782329E-2</v>
      </c>
      <c r="J26" s="17">
        <f>J25</f>
        <v>0</v>
      </c>
      <c r="K26" s="76"/>
      <c r="L26" s="17">
        <f>L25</f>
        <v>6.1199999999999997E-2</v>
      </c>
      <c r="M26" s="17">
        <f>M25</f>
        <v>0</v>
      </c>
      <c r="N26" s="76"/>
      <c r="O26" s="17">
        <f>O25</f>
        <v>6.1199999999999997E-2</v>
      </c>
      <c r="P26" s="17">
        <f>P25</f>
        <v>0</v>
      </c>
      <c r="Q26" s="76"/>
    </row>
    <row r="27" spans="1:17" x14ac:dyDescent="0.3">
      <c r="A27" s="23" t="s">
        <v>33</v>
      </c>
      <c r="B27" s="24" t="s">
        <v>34</v>
      </c>
      <c r="C27" s="25" t="s">
        <v>35</v>
      </c>
      <c r="D27" s="9">
        <v>0</v>
      </c>
      <c r="E27" s="76"/>
      <c r="F27" s="30">
        <v>4.8399999999999999E-2</v>
      </c>
      <c r="G27" s="82">
        <v>0</v>
      </c>
      <c r="H27" s="76"/>
      <c r="I27" s="74">
        <v>0</v>
      </c>
      <c r="J27" s="9">
        <v>0</v>
      </c>
      <c r="K27" s="76"/>
      <c r="L27" s="9">
        <v>0</v>
      </c>
      <c r="M27" s="9">
        <v>0</v>
      </c>
      <c r="N27" s="76"/>
      <c r="O27" s="9">
        <v>0</v>
      </c>
      <c r="P27" s="9">
        <v>0</v>
      </c>
      <c r="Q27" s="76"/>
    </row>
    <row r="28" spans="1:17" x14ac:dyDescent="0.3">
      <c r="A28" s="12"/>
      <c r="B28" s="13" t="s">
        <v>36</v>
      </c>
      <c r="C28" s="12"/>
      <c r="D28" s="14"/>
      <c r="E28" s="76"/>
      <c r="F28" s="14">
        <f>SUM(F27)</f>
        <v>4.8399999999999999E-2</v>
      </c>
      <c r="G28" s="77">
        <f>G27</f>
        <v>0</v>
      </c>
      <c r="H28" s="76"/>
      <c r="I28" s="78">
        <f>SUM(I27)</f>
        <v>0</v>
      </c>
      <c r="J28" s="14">
        <f>SUM(J27)</f>
        <v>0</v>
      </c>
      <c r="K28" s="76"/>
      <c r="L28" s="14">
        <f>SUM(L27)</f>
        <v>0</v>
      </c>
      <c r="M28" s="14">
        <f>SUM(M27)</f>
        <v>0</v>
      </c>
      <c r="N28" s="76"/>
      <c r="O28" s="14">
        <f>SUM(O27)</f>
        <v>0</v>
      </c>
      <c r="P28" s="14">
        <f>SUM(P27)</f>
        <v>0</v>
      </c>
      <c r="Q28" s="76"/>
    </row>
    <row r="29" spans="1:17" x14ac:dyDescent="0.3">
      <c r="A29" s="19"/>
      <c r="B29" s="20" t="s">
        <v>37</v>
      </c>
      <c r="C29" s="19"/>
      <c r="D29" s="17"/>
      <c r="E29" s="76"/>
      <c r="F29" s="17">
        <f>F28</f>
        <v>4.8399999999999999E-2</v>
      </c>
      <c r="G29" s="79">
        <f>G28</f>
        <v>0</v>
      </c>
      <c r="H29" s="76"/>
      <c r="I29" s="80">
        <f>I28</f>
        <v>0</v>
      </c>
      <c r="J29" s="17">
        <f>J28</f>
        <v>0</v>
      </c>
      <c r="K29" s="76"/>
      <c r="L29" s="17">
        <f>L28</f>
        <v>0</v>
      </c>
      <c r="M29" s="17">
        <f>M28</f>
        <v>0</v>
      </c>
      <c r="N29" s="76"/>
      <c r="O29" s="17">
        <f>O28</f>
        <v>0</v>
      </c>
      <c r="P29" s="17">
        <f>P28</f>
        <v>0</v>
      </c>
      <c r="Q29" s="76"/>
    </row>
    <row r="30" spans="1:17" x14ac:dyDescent="0.3">
      <c r="A30" s="15"/>
      <c r="B30" s="16" t="s">
        <v>38</v>
      </c>
      <c r="C30" s="15"/>
      <c r="D30" s="17">
        <f>D11+D21+D26+D27</f>
        <v>1</v>
      </c>
      <c r="E30" s="87"/>
      <c r="F30" s="17">
        <f>F29+F26+F21+F11</f>
        <v>1.0000000449493298</v>
      </c>
      <c r="G30" s="79">
        <f>G11+G21+G26+G29</f>
        <v>1</v>
      </c>
      <c r="H30" s="87"/>
      <c r="I30" s="80">
        <f>I29+I26+I21+I11</f>
        <v>1.0000000947027823</v>
      </c>
      <c r="J30" s="17">
        <f>J29+J26+J21+J11</f>
        <v>1</v>
      </c>
      <c r="K30" s="87"/>
      <c r="L30" s="17">
        <f>L29+L26+L21+L11</f>
        <v>0.99999999999999989</v>
      </c>
      <c r="M30" s="17">
        <f>M29+M26+M21+M11</f>
        <v>1</v>
      </c>
      <c r="N30" s="87"/>
      <c r="O30" s="17">
        <f>O29+O26+O21+O11</f>
        <v>1</v>
      </c>
      <c r="P30" s="17">
        <f>P29+P26+P21+P11</f>
        <v>1</v>
      </c>
      <c r="Q30" s="87"/>
    </row>
    <row r="31" spans="1:17" x14ac:dyDescent="0.3">
      <c r="E31" s="87"/>
      <c r="H31" s="87"/>
      <c r="K31" s="87"/>
      <c r="N31" s="87"/>
      <c r="Q31" s="87"/>
    </row>
    <row r="32" spans="1:17" x14ac:dyDescent="0.3">
      <c r="E32" s="76"/>
      <c r="H32" s="76"/>
      <c r="K32" s="76"/>
      <c r="N32" s="76"/>
      <c r="Q32" s="76"/>
    </row>
    <row r="33" spans="5:17" x14ac:dyDescent="0.3">
      <c r="E33" s="76"/>
      <c r="H33" s="76"/>
      <c r="K33" s="76"/>
      <c r="N33" s="76"/>
      <c r="Q33" s="76"/>
    </row>
  </sheetData>
  <mergeCells count="5">
    <mergeCell ref="B3:B4"/>
    <mergeCell ref="C3:C4"/>
    <mergeCell ref="B5:C5"/>
    <mergeCell ref="B12:C12"/>
    <mergeCell ref="B22:C22"/>
  </mergeCells>
  <conditionalFormatting sqref="D6:D9">
    <cfRule type="notContainsErrors" dxfId="19" priority="20">
      <formula>NOT(ISERROR(D6))</formula>
    </cfRule>
  </conditionalFormatting>
  <conditionalFormatting sqref="D13:D19">
    <cfRule type="notContainsErrors" dxfId="18" priority="17">
      <formula>NOT(ISERROR(D13))</formula>
    </cfRule>
  </conditionalFormatting>
  <conditionalFormatting sqref="D23:D24">
    <cfRule type="notContainsErrors" dxfId="17" priority="19">
      <formula>NOT(ISERROR(D23))</formula>
    </cfRule>
  </conditionalFormatting>
  <conditionalFormatting sqref="D27">
    <cfRule type="notContainsErrors" dxfId="16" priority="18">
      <formula>NOT(ISERROR(D27))</formula>
    </cfRule>
  </conditionalFormatting>
  <conditionalFormatting sqref="F6:G9">
    <cfRule type="notContainsErrors" dxfId="15" priority="11">
      <formula>NOT(ISERROR(F6))</formula>
    </cfRule>
  </conditionalFormatting>
  <conditionalFormatting sqref="F13:G19">
    <cfRule type="notContainsErrors" dxfId="14" priority="12">
      <formula>NOT(ISERROR(F13))</formula>
    </cfRule>
  </conditionalFormatting>
  <conditionalFormatting sqref="F23:G24">
    <cfRule type="notContainsErrors" dxfId="13" priority="14">
      <formula>NOT(ISERROR(F23))</formula>
    </cfRule>
  </conditionalFormatting>
  <conditionalFormatting sqref="F27:G27">
    <cfRule type="notContainsErrors" dxfId="12" priority="13">
      <formula>NOT(ISERROR(F27))</formula>
    </cfRule>
  </conditionalFormatting>
  <conditionalFormatting sqref="I6:J9">
    <cfRule type="notContainsErrors" dxfId="11" priority="10">
      <formula>NOT(ISERROR(I6))</formula>
    </cfRule>
  </conditionalFormatting>
  <conditionalFormatting sqref="I13:J19">
    <cfRule type="notContainsErrors" dxfId="10" priority="9">
      <formula>NOT(ISERROR(I13))</formula>
    </cfRule>
  </conditionalFormatting>
  <conditionalFormatting sqref="I23:J24">
    <cfRule type="notContainsErrors" dxfId="9" priority="16">
      <formula>NOT(ISERROR(I23))</formula>
    </cfRule>
  </conditionalFormatting>
  <conditionalFormatting sqref="I27:J27">
    <cfRule type="notContainsErrors" dxfId="8" priority="15">
      <formula>NOT(ISERROR(I27))</formula>
    </cfRule>
  </conditionalFormatting>
  <conditionalFormatting sqref="L6:M9">
    <cfRule type="notContainsErrors" dxfId="7" priority="6">
      <formula>NOT(ISERROR(L6))</formula>
    </cfRule>
  </conditionalFormatting>
  <conditionalFormatting sqref="L13:M19">
    <cfRule type="notContainsErrors" dxfId="6" priority="5">
      <formula>NOT(ISERROR(L13))</formula>
    </cfRule>
  </conditionalFormatting>
  <conditionalFormatting sqref="L23:M24">
    <cfRule type="notContainsErrors" dxfId="5" priority="8">
      <formula>NOT(ISERROR(L23))</formula>
    </cfRule>
  </conditionalFormatting>
  <conditionalFormatting sqref="L27:M27">
    <cfRule type="notContainsErrors" dxfId="4" priority="7">
      <formula>NOT(ISERROR(L27))</formula>
    </cfRule>
  </conditionalFormatting>
  <conditionalFormatting sqref="O6:P9">
    <cfRule type="notContainsErrors" dxfId="3" priority="1">
      <formula>NOT(ISERROR(O6))</formula>
    </cfRule>
  </conditionalFormatting>
  <conditionalFormatting sqref="O13:P19">
    <cfRule type="notContainsErrors" dxfId="2" priority="2">
      <formula>NOT(ISERROR(O13))</formula>
    </cfRule>
  </conditionalFormatting>
  <conditionalFormatting sqref="O23:P24">
    <cfRule type="notContainsErrors" dxfId="1" priority="4">
      <formula>NOT(ISERROR(O23))</formula>
    </cfRule>
  </conditionalFormatting>
  <conditionalFormatting sqref="O27:P27">
    <cfRule type="notContainsErrors" dxfId="0" priority="3">
      <formula>NOT(ISERROR(O27))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VYOX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 Merchantile Pvt Ltd</dc:creator>
  <cp:lastModifiedBy>Tejal Merchantile Pvt Ltd</cp:lastModifiedBy>
  <dcterms:created xsi:type="dcterms:W3CDTF">2026-05-26T05:49:14Z</dcterms:created>
  <dcterms:modified xsi:type="dcterms:W3CDTF">2026-06-05T08:07:59Z</dcterms:modified>
</cp:coreProperties>
</file>